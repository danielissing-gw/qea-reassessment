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#,##0.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  <xf numFmtId="0" fontId="3" fillId="0" borderId="0" applyAlignment="1" pivotButton="0" quotePrefix="0" xfId="0">
      <alignment wrapText="1"/>
    </xf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Derived from CHAI Nigeria BOTEC (July 2023): total 5-year cost ~$29M for ~472K cumulative child-years of treatment = ~$62/child-year average. Year 1 is higher (~$96) due to fixed costs; year 5 is lower (~$47) as fixed costs amortize. Using $60 as central estimate. A treatment-only program (where screening exists, e.g. Uganda/Ghana) could be $35-40/child-year. HU drug cost alone is only ~$18/year for children &gt;1yr.</t>
      </text>
    </comment>
    <comment ref="C7" authorId="0" shapeId="0">
      <text>
        <t>GBD 2021 (Lancet Haematology 2023): 81,100 under-5 SCD deaths globally in 2021. Nigeria accounts for ~30% of global SCD burden. CHAI BOTEC uses 29.85/1000 person-years from IHME data. Note: GBD 2021 total-mortality methodology suggests true burden may be ~11x higher than cause-specific coding — the 29.9 figure is the cause-specific rate.</t>
      </text>
    </comment>
    <comment ref="C11" authorId="0" shapeId="0">
      <text>
        <t>Tshilolo et al. 2019 NEJM (REACH trial): hydroxyurea in children with SCA in SSA (DRC, Uganda, Kenya, Angola). IRR for mortality 0.30. However, this is a pre-post comparison — children received substantially more monitoring and care in the treatment period. The 8-year follow-up (Lancet Haematology 2024) confirms sustained benefit at MTD dosing with 4,340 patient-years of treatment. No RCT exists.</t>
      </text>
    </comment>
    <comment ref="C12" authorId="0" shapeId="0">
      <text>
        <t>The REACH trial is a pre-post study, not an RCT. GW reviewers flagged that children received more care and monitoring in the post-treatment period, which could drive part of the observed effect. CHAI used 89% IV which GW considered too high. I'm using 65% — the effect is consistent across 4 SSA countries and 8 years of follow-up, but the confounding from increased care is a genuine concern. Meta-analysis of 3 small RCTs (Narra X 2024, n=423) confirms HbF improvement but doesn't directly measure mortality.</t>
      </text>
    </comment>
    <comment ref="C13" authorId="0" shapeId="0">
      <text>
        <t>REACH trial was conducted at research hospitals in DRC, Uganda, Kenya, and Angola. Scaling to routine health facilities in Nigeria (or other settings) introduces challenges: adherence without research monitoring, drug supply chain reliability, loss to follow-up. CONSA data shows only 38.5% of screened SCD babies had a documented clinical visit — suggesting major care cascade problems at scale. CHAI used 97.5% EV which is too high for a program that hasn't been implemented at scale.</t>
      </text>
    </comment>
    <comment ref="C14" authorId="0" shapeId="0">
      <text>
        <t>HU is a daily oral medication administered at home by caregivers. No child-friendly liquid formulation widely available (Siklos approved in Ghana 2022 but not widely distributed). Caregivers crush tablets or dissolve capsule powder. US studies show adherence ~60-80% among children. Education of caregivers is critical, especially for asymptomatic children. GW flagged this as a missing adjustment in the CHAI model.</t>
      </text>
    </comment>
    <comment ref="C19" authorId="0" shapeId="0">
      <text>
        <t>This is the most important and most uncertain parameter in the BOTEC. SCD requires lifelong HU treatment, but the proposed program only covers children 0-5. A death averted at age 2 has full moral weight only if the child lives to normal life expectancy. If treatment stops at 5 and the child dies at 10-15, we've delayed the death rather than averted it. 50% discount assumes a mix of outcomes: ~30% chance of lifelong treatment access (government uptake, endowment), ~30% chance of survival to ~25 without treatment (milder SCD genotypes), ~40% chance of death before age 20. This discount does NOT apply to morbidity benefits, which are realized during the program period.</t>
      </text>
    </comment>
    <comment ref="C22" authorId="0" shapeId="0">
      <text>
        <t>From GiveWell's 2020 moral weights tool. Most SCD deaths in under-5s occur in the first 2 years of life (50% in year 1 per IHME). Weighted average of Post Neonatal (100.7) and 1-4yr (127.3), roughly 40/60 split = 117.</t>
      </text>
    </comment>
    <comment ref="C24" authorId="0" shapeId="0">
      <text>
        <t>SCD causes severe morbidity beyond mortality: vaso-occlusive pain crises, acute chest syndrome, stroke, splenic sequestration, chronic organ damage, and cognitive impairment. HU reduces pain crises by ~40-50% and transfusion needs by 75% (REACH 8yr follow-up). 15% uplift is conservative — the true morbidity benefit may be larger. Unlike the mortality benefit, morbidity benefits are fully realized during the program period and do not need a sustainability discount.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lancet.com/journals/lanhae/article/PIIS2352-3026(23)00118-7/fulltext" TargetMode="External" Id="rId1" /><Relationship Type="http://schemas.openxmlformats.org/officeDocument/2006/relationships/hyperlink" Target="https://www.nejm.org/doi/full/10.1056/NEJMoa1813598" TargetMode="External" Id="rId2" /><Relationship Type="http://schemas.openxmlformats.org/officeDocument/2006/relationships/hyperlink" Target="https://docs.google.com/spreadsheets/d/1YiZmHQb-JsDIDJF_tKKVte2x5NOL0CGUTndJNoB0iHo/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Cost per child-year of SCD treatment (full program)</t>
        </is>
      </c>
      <c r="B3" s="4" t="n">
        <v>60</v>
      </c>
      <c r="C3" s="5" t="inlineStr">
        <is>
          <t>Includes screening, HU, other therapies, TA, M&amp;E</t>
        </is>
      </c>
    </row>
    <row r="4">
      <c r="A4" t="inlineStr">
        <is>
          <t>Child-years of treatment per $1M</t>
        </is>
      </c>
      <c r="B4" s="6">
        <f>B2/B3</f>
        <v/>
      </c>
      <c r="C4" s="5" t="inlineStr">
        <is>
          <t>Calculation</t>
        </is>
      </c>
    </row>
    <row r="5">
      <c r="A5" t="inlineStr"/>
      <c r="C5" s="5" t="n"/>
    </row>
    <row r="6">
      <c r="A6" s="1" t="inlineStr">
        <is>
          <t>Burden (SCD in children under 5)</t>
        </is>
      </c>
      <c r="C6" s="5" t="n"/>
    </row>
    <row r="7">
      <c r="A7" t="inlineStr">
        <is>
          <t>Case fatality rate per 1,000 person-years (SCD, under 5)</t>
        </is>
      </c>
      <c r="B7" t="n">
        <v>29.9</v>
      </c>
      <c r="C7" s="7" t="inlineStr">
        <is>
          <t>IHME GBD 2021: ~24,400 under-5 SCD deaths / ~817K under-5 SCD person-years in Nigeria</t>
        </is>
      </c>
    </row>
    <row r="8">
      <c r="A8" t="inlineStr">
        <is>
          <t>Expected deaths without treatment in treated cohort</t>
        </is>
      </c>
      <c r="B8" s="8">
        <f>B4*B7/1000</f>
        <v/>
      </c>
      <c r="C8" s="5" t="inlineStr">
        <is>
          <t>Calculation</t>
        </is>
      </c>
    </row>
    <row r="9">
      <c r="A9" t="inlineStr"/>
      <c r="C9" s="5" t="n"/>
    </row>
    <row r="10">
      <c r="A10" s="1" t="inlineStr">
        <is>
          <t>Effect of hydroxyurea treatment</t>
        </is>
      </c>
      <c r="C10" s="5" t="n"/>
    </row>
    <row r="11">
      <c r="A11" t="inlineStr">
        <is>
          <t>Mortality reduction from HU (from REACH trial)</t>
        </is>
      </c>
      <c r="B11" s="9" t="n">
        <v>0.7</v>
      </c>
      <c r="C11" s="7" t="inlineStr">
        <is>
          <t>REACH: IRR 0.30 → 70% mortality reduction (pre-post, n=606)</t>
        </is>
      </c>
    </row>
    <row r="12">
      <c r="A12" t="inlineStr">
        <is>
          <t>Internal validity adjustment</t>
        </is>
      </c>
      <c r="B12" s="9" t="n">
        <v>0.65</v>
      </c>
      <c r="C12" s="5" t="inlineStr">
        <is>
          <t>Pre-post design with increased monitoring; no RCT available</t>
        </is>
      </c>
    </row>
    <row r="13">
      <c r="A13" t="inlineStr">
        <is>
          <t>External validity adjustment</t>
        </is>
      </c>
      <c r="B13" s="9" t="n">
        <v>0.8</v>
      </c>
      <c r="C13" s="5" t="inlineStr">
        <is>
          <t>REACH was at research sites; national implementation would differ</t>
        </is>
      </c>
    </row>
    <row r="14">
      <c r="A14" t="inlineStr">
        <is>
          <t>Adherence adjustment</t>
        </is>
      </c>
      <c r="B14" s="9" t="n">
        <v>0.8</v>
      </c>
      <c r="C14" s="5" t="inlineStr">
        <is>
          <t>HU requires daily administration by caregivers; not modeled in CHAI BOTEC</t>
        </is>
      </c>
    </row>
    <row r="15">
      <c r="A15" t="inlineStr">
        <is>
          <t>Adjusted mortality reduction</t>
        </is>
      </c>
      <c r="B15" s="10">
        <f>B11*B12*B13*B14</f>
        <v/>
      </c>
      <c r="C15" s="5" t="inlineStr">
        <is>
          <t>Calculation: effect × IV × EV × adherence</t>
        </is>
      </c>
    </row>
    <row r="16">
      <c r="A16" t="inlineStr">
        <is>
          <t>Deaths averted per $1M (face value)</t>
        </is>
      </c>
      <c r="B16" s="8">
        <f>B8*B15</f>
        <v/>
      </c>
      <c r="C16" s="5" t="inlineStr">
        <is>
          <t>Calculation</t>
        </is>
      </c>
    </row>
    <row r="17">
      <c r="A17" t="inlineStr"/>
      <c r="C17" s="5" t="n"/>
    </row>
    <row r="18">
      <c r="A18" s="1" t="inlineStr">
        <is>
          <t>Sustainability adjustment (critical assumption)</t>
        </is>
      </c>
      <c r="C18" s="5" t="n"/>
    </row>
    <row r="19">
      <c r="A19" t="inlineStr">
        <is>
          <t>Sustainability discount on moral weight</t>
        </is>
      </c>
      <c r="B19" s="9" t="n">
        <v>0.5</v>
      </c>
      <c r="C19" s="5" t="inlineStr">
        <is>
          <t>SCD requires lifelong treatment; program covers only ages 0-5</t>
        </is>
      </c>
    </row>
    <row r="20">
      <c r="A20" t="inlineStr"/>
      <c r="C20" s="5" t="n"/>
    </row>
    <row r="21">
      <c r="A21" s="1" t="inlineStr">
        <is>
          <t>Benefits</t>
        </is>
      </c>
      <c r="C21" s="5" t="n"/>
    </row>
    <row r="22">
      <c r="A22" t="inlineStr">
        <is>
          <t>Moral weight per under-5 death averted (UoV)</t>
        </is>
      </c>
      <c r="B22" t="n">
        <v>117</v>
      </c>
      <c r="C22" s="7" t="inlineStr">
        <is>
          <t>GiveWell 2020 moral weights: Post Neonatal 100.7, 1-4yr 127.3</t>
        </is>
      </c>
    </row>
    <row r="23">
      <c r="A23" t="inlineStr">
        <is>
          <t>UoV from mortality (sustainability-adjusted)</t>
        </is>
      </c>
      <c r="B23" s="6">
        <f>B16*B22*B19</f>
        <v/>
      </c>
      <c r="C23" s="5" t="inlineStr">
        <is>
          <t>Calculation: deaths averted × moral weight × sustainability discount</t>
        </is>
      </c>
    </row>
    <row r="24">
      <c r="A24" t="inlineStr">
        <is>
          <t>Ad-hoc: morbidity averted (pain crises, stroke, organ damage)</t>
        </is>
      </c>
      <c r="B24" s="9" t="n">
        <v>0.15</v>
      </c>
      <c r="C24" s="5" t="inlineStr">
        <is>
          <t>Assumption: 15% uplift for morbidity benefits realized during program</t>
        </is>
      </c>
    </row>
    <row r="25">
      <c r="A25" t="inlineStr">
        <is>
          <t>UoV from morbidity (no sustainability discount needed)</t>
        </is>
      </c>
      <c r="B25" s="6">
        <f>B16*B22*B24</f>
        <v/>
      </c>
      <c r="C25" s="5" t="inlineStr">
        <is>
          <t>Calculation</t>
        </is>
      </c>
    </row>
    <row r="26">
      <c r="A26" t="inlineStr">
        <is>
          <t>Total UoV from program</t>
        </is>
      </c>
      <c r="B26" s="6">
        <f>B23+B25</f>
        <v/>
      </c>
      <c r="C26" s="5" t="inlineStr">
        <is>
          <t>Calculation</t>
        </is>
      </c>
    </row>
    <row r="27">
      <c r="A27" t="inlineStr"/>
      <c r="C27" s="5" t="n"/>
    </row>
    <row r="28">
      <c r="A28" s="1" t="inlineStr">
        <is>
          <t>Final CE</t>
        </is>
      </c>
      <c r="C28" s="5" t="n"/>
    </row>
    <row r="29">
      <c r="A29" t="inlineStr">
        <is>
          <t>Value per dollar spent on benchmark (GiveDirectly)</t>
        </is>
      </c>
      <c r="B29" t="n">
        <v>0.00344</v>
      </c>
      <c r="C29" s="5" t="n"/>
    </row>
    <row r="30">
      <c r="A30" t="inlineStr">
        <is>
          <t>CE (multiples of cash)</t>
        </is>
      </c>
      <c r="B30" s="11">
        <f>B26/B2/B29</f>
        <v/>
      </c>
      <c r="C30" s="5" t="inlineStr">
        <is>
          <t>Calculation</t>
        </is>
      </c>
    </row>
    <row r="31">
      <c r="A31" t="inlineStr"/>
      <c r="C31" s="5" t="n"/>
    </row>
    <row r="32">
      <c r="A32" s="1" t="inlineStr">
        <is>
          <t>Sensitivity</t>
        </is>
      </c>
      <c r="C32" s="5" t="n"/>
    </row>
    <row r="33">
      <c r="A33" t="inlineStr">
        <is>
          <t>CE without sustainability discount (face value)</t>
        </is>
      </c>
      <c r="B33" s="12">
        <f>B16*B22*(1+B24)/B2/B29</f>
        <v/>
      </c>
      <c r="C33" s="5" t="inlineStr">
        <is>
          <t>If lifelong treatment is ensured (endowment/govt uptake)</t>
        </is>
      </c>
    </row>
    <row r="34">
      <c r="A34" t="inlineStr">
        <is>
          <t>CE at $35/child-year (treatment-only, e.g. Uganda/Ghana)</t>
        </is>
      </c>
      <c r="B34" s="12">
        <f>(B2/35*B7/1000*B15*B22*(B19+B24))/B2/B29</f>
        <v/>
      </c>
      <c r="C34" s="5" t="inlineStr">
        <is>
          <t>Countries with existing screening; lower overhead</t>
        </is>
      </c>
    </row>
    <row r="35">
      <c r="A35" t="inlineStr">
        <is>
          <t>CE at $35/child-year + no sustainability discount</t>
        </is>
      </c>
      <c r="B35" s="12">
        <f>(B2/35*B7/1000*B15*B22*(1+B24))/B2/B29</f>
        <v/>
      </c>
      <c r="C35" s="5" t="inlineStr">
        <is>
          <t>Best case: existing screening + lifelong treatment ensured</t>
        </is>
      </c>
    </row>
    <row r="36">
      <c r="A36" t="inlineStr">
        <is>
          <t>CE at $80/child-year + 70% sustainability discount</t>
        </is>
      </c>
      <c r="B36" s="12">
        <f>(B2/80*B7/1000*B15*B22*(0.30+B24))/B2/B29</f>
        <v/>
      </c>
      <c r="C36" s="5" t="inlineStr">
        <is>
          <t>Pessimistic: high costs, poor treatment sustainability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11" r:id="rId2"/>
    <hyperlink xmlns:r="http://schemas.openxmlformats.org/officeDocument/2006/relationships" ref="C22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2026-04-06T22:06:11Z</dcterms:created>
  <dcterms:modified xsi:type="dcterms:W3CDTF">2026-04-06T22:06:11Z</dcterms:modified>
</cp:coreProperties>
</file>