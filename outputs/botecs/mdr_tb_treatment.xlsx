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#,##0.0"/>
    <numFmt numFmtId="167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3" fontId="0" fillId="0" borderId="0" pivotButton="0" quotePrefix="0" xfId="0"/>
    <xf numFmtId="9" fontId="0" fillId="0" borderId="0" pivotButton="0" quotePrefix="0" xfId="0"/>
    <xf numFmtId="0" fontId="3" fillId="0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3" authorId="0" shapeId="0">
      <text>
        <t>Drug cost alone is $310/course (BPaLM via Global Drug Facility). Total treatment costs including health system costs: $996 (Pakistan) to $2,573 (Ukraine). Using $1,500 as mid-range estimate. If philanthropic funding covers drugs only ($310-750), CE would be much higher. See sensitivity analysis.</t>
      </text>
    </comment>
    <comment ref="C7" authorId="0" shapeId="0">
      <text>
        <t>"Treatment success was achieved in 89% of participants randomised to BPaLM" (TB-PRACTECAL). Consistent with endTB Regimen 2 (90.4%), Nix-TB (90%), ZeNix 600mg/26wk (91%), and STREAM Stage 2 (91%). Using 89% as conservative central estimate (TB-PRACTECAL is the largest multi-country trial).</t>
      </text>
    </comment>
    <comment ref="C8" authorId="0" shapeId="0">
      <text>
        <t>In TB-PRACTECAL: 89% success, ~5% lost to follow-up/not evaluated, ~6% died. In endTB: unfavorable outcomes included death (primary), relapse, and treatment failure. 6% in-treatment mortality is conservative for programmatic conditions (trial settings have better adherence support).</t>
      </text>
    </comment>
    <comment ref="C9" authorId="0" shapeId="0">
      <text>
        <t>Tiemersma et al. 2011 estimated 70% of TB patients die within 10 years without treatment. MDR-TB patients specifically may have worse outcomes. However, some patients in the counterfactual would receive standard TB treatment (which is partially effective even for MDR-TB, yielding ~40-50% cure in some settings). Using 50% as a conservative estimate of 5-year mortality without MDR-TB-specific treatment.</t>
      </text>
    </comment>
    <comment ref="C10" authorId="0" shapeId="0">
      <text>
        <t>This is the net mortality reduction: 50% would die without treatment, 6% die with treatment, so each treated patient saves 0.44 lives on average. This is a simplification that ignores the timing of deaths and discount rates.</t>
      </text>
    </comment>
    <comment ref="C13" authorId="0" shapeId="0">
      <text>
        <t>TB-PRACTECAL, endTB, Nix-TB, ZeNix, and STREAM Stage 2 all demonstrate ~89-91% treatment success. Multiple independent trials across diverse settings. Minor discount (10%) because: (1) most trials were open-label; (2) 'treatment success' includes microbiological cure, not just mortality; (3) adherence support in trials exceeds typical programmatic conditions.</t>
      </text>
    </comment>
    <comment ref="C14" authorId="0" shapeId="0">
      <text>
        <t>TB-PRACTECAL sites were in Uzbekistan, Belarus, and South Africa — settings with relatively strong TB infrastructure. In countries with weaker health systems (e.g., DRC, Myanmar), treatment success may be lower due to: (1) drug supply interruptions; (2) less adherence support; (3) higher loss to follow-up; (4) fewer trained clinicians. Global actual treatment success rate is 68% (2021 cohort) vs. 89% in trials, suggesting a meaningful implementation gap. Using 80% EV.</t>
      </text>
    </comment>
    <comment ref="C19" authorId="0" shapeId="0">
      <text>
        <t>GBD 2021 study: MDR-TB patients have mean age ~39-42, with 62.6% under 40. Peak incidence at ages 35-44. Significantly younger than non-MDR-TB patients.</t>
      </text>
    </comment>
    <comment ref="C20" authorId="0" shapeId="0">
      <text>
        <t>At age 39 in a typical LMIC (LE ~65-70), remaining life expectancy is ~30-35 years. GiveWell standard: 52.5 UoV for under-5 deaths. For adults dying at ~39, I'm estimating ~40 UoV — lower than under-5 deaths but higher than elderly CVD deaths (~20-30 UoV). This is between the original aspirin BOTEC's 30.7 (older adults) and under-5 standard. 76% of MDR-TB patients are male, which slightly reduces the moral weight per GW's framework (women have longer remaining LE).</t>
      </text>
    </comment>
    <comment ref="C22" authorId="0" shapeId="0">
      <text>
        <t>BPaLM is 6 months vs. 18-24 months for older regimens. Shorter treatment means: (1) less lost income during treatment; (2) fewer severe side effects (no injectable agents — eliminates hearing loss risk); (3) better quality of life during treatment; (4) reduced transmission due to faster cure. 10% is a conservative uplift for these non-mortality benefits.</t>
      </text>
    </comment>
    <comment ref="C23" authorId="0" shapeId="0">
      <text>
        <t>Each untreated MDR-TB patient can infect 10-15 people over time, of whom ~5-10% develop active TB. A cured patient stops transmitting. Faster cure (6 months vs. 18-24 months) also reduces the infectious period. 15% uplift is a rough estimate for the value of preventing secondary MDR-TB cases. This is likely conservative — some models estimate that 30-50% of the total value of TB treatment comes from preventing onward transmission.</t>
      </text>
    </comment>
    <comment ref="C35" authorId="0" shapeId="0">
      <text>
        <t>If the philanthropic role is purely drug procurement to prevent stockouts — with existing health systems covering diagnostics, monitoring, and clinical care — the per-patient cost is just $310 (BPaLM drug cost via GDF). This is the highest-leverage scenario and may be realistic in the context of the 2025 US funding crisis, where drug supply chains are disrupted but health infrastructure remains intact.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lancet.com/journals/lanres/article/PIIS2213-2600(23)00389-2/fulltext" TargetMode="External" Id="rId1" /><Relationship Type="http://schemas.openxmlformats.org/officeDocument/2006/relationships/hyperlink" Target="https://bmcmedicine.biomedcentral.com/articles/10.1186/s12916-025-04269-7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</cols>
  <sheetData>
    <row r="1">
      <c r="A1" s="1" t="inlineStr">
        <is>
          <t>Costs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Grant amount</t>
        </is>
      </c>
      <c r="B2" s="4" t="n">
        <v>1000000</v>
      </c>
      <c r="C2" s="5" t="n"/>
    </row>
    <row r="3">
      <c r="A3" t="inlineStr">
        <is>
          <t>Cost per patient treated (all-in: drugs + diagnostics + monitoring)</t>
        </is>
      </c>
      <c r="B3" s="4" t="n">
        <v>1500</v>
      </c>
      <c r="C3" s="5" t="inlineStr">
        <is>
          <t>Mid-range of $996-$2,573 across 4 LMICs (Pakistan, Philippines, SA, Ukraine)</t>
        </is>
      </c>
    </row>
    <row r="4">
      <c r="A4" t="inlineStr">
        <is>
          <t>Patients treated</t>
        </is>
      </c>
      <c r="B4" s="6">
        <f>B2/B3</f>
        <v/>
      </c>
      <c r="C4" s="5" t="inlineStr">
        <is>
          <t>Calculation</t>
        </is>
      </c>
    </row>
    <row r="5">
      <c r="A5" t="inlineStr"/>
      <c r="C5" s="5" t="n"/>
    </row>
    <row r="6">
      <c r="A6" s="1" t="inlineStr">
        <is>
          <t>Treatment effect</t>
        </is>
      </c>
      <c r="C6" s="5" t="n"/>
    </row>
    <row r="7">
      <c r="A7" t="inlineStr">
        <is>
          <t>Treatment success rate (BPaLM)</t>
        </is>
      </c>
      <c r="B7" s="7" t="n">
        <v>0.89</v>
      </c>
      <c r="C7" s="8" t="inlineStr">
        <is>
          <t>TB-PRACTECAL trial (Lancet Resp Med 2023)</t>
        </is>
      </c>
    </row>
    <row r="8">
      <c r="A8" t="inlineStr">
        <is>
          <t>Mortality during treatment (1 - success - other failures)</t>
        </is>
      </c>
      <c r="B8" s="7" t="n">
        <v>0.06</v>
      </c>
      <c r="C8" s="5" t="inlineStr">
        <is>
          <t>Assumption: ~6% die during treatment (remainder relapse/lost to follow-up)</t>
        </is>
      </c>
    </row>
    <row r="9">
      <c r="A9" t="inlineStr">
        <is>
          <t>Counterfactual 5-year mortality without MDR-TB-specific treatment</t>
        </is>
      </c>
      <c r="B9" s="7" t="n">
        <v>0.5</v>
      </c>
      <c r="C9" s="5" t="inlineStr">
        <is>
          <t>Conservative estimate; Tiemersma 2011 found 70% 10-year TB mortality</t>
        </is>
      </c>
    </row>
    <row r="10">
      <c r="A10" t="inlineStr">
        <is>
          <t>Marginal lives saved per patient treated</t>
        </is>
      </c>
      <c r="B10" s="9">
        <f>B9-B8</f>
        <v/>
      </c>
      <c r="C10" s="5" t="inlineStr">
        <is>
          <t>Calculation: counterfactual mortality - treatment mortality</t>
        </is>
      </c>
    </row>
    <row r="11">
      <c r="A11" t="inlineStr"/>
      <c r="C11" s="5" t="n"/>
    </row>
    <row r="12">
      <c r="A12" s="1" t="inlineStr">
        <is>
          <t>Adjustments</t>
        </is>
      </c>
      <c r="C12" s="5" t="n"/>
    </row>
    <row r="13">
      <c r="A13" t="inlineStr">
        <is>
          <t>Internal validity adjustment</t>
        </is>
      </c>
      <c r="B13" s="7" t="n">
        <v>0.9</v>
      </c>
      <c r="C13" s="5" t="inlineStr">
        <is>
          <t>Multiple Phase 3 RCTs — high IV, minor discount for open-label designs</t>
        </is>
      </c>
    </row>
    <row r="14">
      <c r="A14" t="inlineStr">
        <is>
          <t>External validity adjustment</t>
        </is>
      </c>
      <c r="B14" s="7" t="n">
        <v>0.8</v>
      </c>
      <c r="C14" s="5" t="inlineStr">
        <is>
          <t>Trial sites (SA, Uzbekistan, India) may differ from scaled programs</t>
        </is>
      </c>
    </row>
    <row r="15">
      <c r="A15" t="inlineStr">
        <is>
          <t>Adjusted lives saved per patient treated</t>
        </is>
      </c>
      <c r="B15" s="9">
        <f>B10*B13*B14</f>
        <v/>
      </c>
      <c r="C15" s="5" t="inlineStr">
        <is>
          <t>Calculation</t>
        </is>
      </c>
    </row>
    <row r="16">
      <c r="A16" t="inlineStr">
        <is>
          <t>Total deaths averted</t>
        </is>
      </c>
      <c r="B16" s="10">
        <f>B4*B15</f>
        <v/>
      </c>
      <c r="C16" s="5" t="inlineStr">
        <is>
          <t>Calculation</t>
        </is>
      </c>
    </row>
    <row r="17">
      <c r="A17" t="inlineStr"/>
      <c r="C17" s="5" t="n"/>
    </row>
    <row r="18">
      <c r="A18" s="1" t="inlineStr">
        <is>
          <t>Benefits</t>
        </is>
      </c>
      <c r="C18" s="5" t="n"/>
    </row>
    <row r="19">
      <c r="A19" t="inlineStr">
        <is>
          <t>Mean age of MDR-TB death</t>
        </is>
      </c>
      <c r="B19" t="n">
        <v>39</v>
      </c>
      <c r="C19" s="8" t="inlineStr">
        <is>
          <t>GBD 2021 MDR-TB demographics: mean age ~39, 62.6% under 40</t>
        </is>
      </c>
    </row>
    <row r="20">
      <c r="A20" t="inlineStr">
        <is>
          <t>Moral weight per MDR-TB death averted (UoV)</t>
        </is>
      </c>
      <c r="B20" t="n">
        <v>40</v>
      </c>
      <c r="C20" s="5" t="inlineStr">
        <is>
          <t>Working-age adults dying at ~39; remaining LE ~30-35 years in LMIC</t>
        </is>
      </c>
    </row>
    <row r="21">
      <c r="A21" t="inlineStr">
        <is>
          <t>UoV from deaths averted</t>
        </is>
      </c>
      <c r="B21" s="6">
        <f>B16*B20</f>
        <v/>
      </c>
      <c r="C21" s="5" t="inlineStr">
        <is>
          <t>Calculation</t>
        </is>
      </c>
    </row>
    <row r="22">
      <c r="A22" t="inlineStr">
        <is>
          <t>Ad-hoc: morbidity averted (reduced treatment duration, fewer side effects)</t>
        </is>
      </c>
      <c r="B22" s="7" t="n">
        <v>0.1</v>
      </c>
      <c r="C22" s="5" t="inlineStr">
        <is>
          <t>Assumption: 10% uplift for non-mortality benefits</t>
        </is>
      </c>
    </row>
    <row r="23">
      <c r="A23" t="inlineStr">
        <is>
          <t>Ad-hoc: transmission prevention (cured patients don't spread MDR-TB)</t>
        </is>
      </c>
      <c r="B23" s="7" t="n">
        <v>0.15</v>
      </c>
      <c r="C23" s="5" t="inlineStr">
        <is>
          <t>Assumption: 15% uplift for averted secondary cases</t>
        </is>
      </c>
    </row>
    <row r="24">
      <c r="A24" t="inlineStr">
        <is>
          <t>Total UoV from program</t>
        </is>
      </c>
      <c r="B24" s="6">
        <f>B21*(1+B22+B23)</f>
        <v/>
      </c>
      <c r="C24" s="5" t="inlineStr">
        <is>
          <t>Calculation</t>
        </is>
      </c>
    </row>
    <row r="25">
      <c r="A25" t="inlineStr"/>
      <c r="C25" s="5" t="n"/>
    </row>
    <row r="26">
      <c r="A26" s="1" t="inlineStr">
        <is>
          <t>Final CE</t>
        </is>
      </c>
      <c r="C26" s="5" t="n"/>
    </row>
    <row r="27">
      <c r="A27" t="inlineStr">
        <is>
          <t>Value per dollar spent on benchmark (GiveDirectly)</t>
        </is>
      </c>
      <c r="B27" t="n">
        <v>0.00344</v>
      </c>
      <c r="C27" s="5" t="n"/>
    </row>
    <row r="28">
      <c r="A28" t="inlineStr">
        <is>
          <t>CE (multiples of cash)</t>
        </is>
      </c>
      <c r="B28" s="11">
        <f>B24/B2/B27</f>
        <v/>
      </c>
      <c r="C28" s="5" t="inlineStr">
        <is>
          <t>Calculation</t>
        </is>
      </c>
    </row>
    <row r="29">
      <c r="A29" t="inlineStr"/>
      <c r="C29" s="5" t="n"/>
    </row>
    <row r="30">
      <c r="A30" s="1" t="inlineStr">
        <is>
          <t>Sensitivity</t>
        </is>
      </c>
      <c r="C30" s="5" t="n"/>
    </row>
    <row r="31">
      <c r="A31" t="inlineStr">
        <is>
          <t>CE at $750/patient (drug procurement + basic support)</t>
        </is>
      </c>
      <c r="B31" s="12">
        <f>(B2/750)*B15*B20*(1+B22+B23)/(B2*B27)</f>
        <v/>
      </c>
      <c r="C31" s="5" t="inlineStr">
        <is>
          <t>Scenario: drugs ($310) + GeneXpert ($20) + monitoring ($420)</t>
        </is>
      </c>
    </row>
    <row r="32">
      <c r="A32" t="inlineStr">
        <is>
          <t>CE at $1,000/patient (lean program)</t>
        </is>
      </c>
      <c r="B32" s="12">
        <f>(B2/1000)*B15*B20*(1+B22+B23)/(B2*B27)</f>
        <v/>
      </c>
      <c r="C32" s="5" t="inlineStr">
        <is>
          <t>Scenario: low-end of country-level cost estimates (Pakistan)</t>
        </is>
      </c>
    </row>
    <row r="33">
      <c r="A33" t="inlineStr">
        <is>
          <t>CE at $1,500/patient (best guess)</t>
        </is>
      </c>
      <c r="B33" s="12">
        <f>B28</f>
        <v/>
      </c>
      <c r="C33" s="5">
        <f> main BOTEC estimate</f>
        <v/>
      </c>
    </row>
    <row r="34">
      <c r="A34" t="inlineStr">
        <is>
          <t>CE at $2,500/patient (full program with diagnostics)</t>
        </is>
      </c>
      <c r="B34" s="12">
        <f>(B2/2500)*B15*B20*(1+B22+B23)/(B2*B27)</f>
        <v/>
      </c>
      <c r="C34" s="5" t="inlineStr">
        <is>
          <t>Scenario: high-end country costs (Ukraine/South Africa)</t>
        </is>
      </c>
    </row>
    <row r="35">
      <c r="A35" t="inlineStr">
        <is>
          <t>CE at $310/patient (drug procurement only)</t>
        </is>
      </c>
      <c r="B35" s="12">
        <f>(B2/310)*B15*B20*(1+B22+B23)/(B2*B27)</f>
        <v/>
      </c>
      <c r="C35" s="5" t="inlineStr">
        <is>
          <t>Scenario: filling acute drug stockouts from US funding cuts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19" r:id="rId2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2026-03-19T02:44:10Z</dcterms:created>
  <dcterms:modified xsi:type="dcterms:W3CDTF">2026-03-19T02:44:10Z</dcterms:modified>
</cp:coreProperties>
</file>