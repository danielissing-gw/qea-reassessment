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TEC" sheetId="1" state="visible" r:id="rId1"/>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5">
    <font>
      <name val="Calibri"/>
      <family val="2"/>
      <color theme="1"/>
      <sz val="11"/>
      <scheme val="minor"/>
    </font>
    <font>
      <b val="1"/>
      <sz val="11"/>
    </font>
    <font>
      <b val="1"/>
    </font>
    <font>
      <color rgb="000000FF"/>
      <u val="single"/>
    </font>
    <font>
      <b val="1"/>
      <sz val="12"/>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164" fontId="0" fillId="0" borderId="0" pivotButton="0" quotePrefix="0" xfId="0"/>
    <xf numFmtId="0" fontId="0" fillId="0" borderId="0" applyAlignment="1" pivotButton="0" quotePrefix="0" xfId="0">
      <alignment wrapText="1"/>
    </xf>
    <xf numFmtId="0" fontId="3" fillId="0" borderId="0" applyAlignment="1" pivotButton="0" quotePrefix="0" xfId="0">
      <alignment wrapText="1"/>
    </xf>
    <xf numFmtId="10" fontId="0" fillId="0" borderId="0" pivotButton="0" quotePrefix="0" xfId="0"/>
    <xf numFmtId="9" fontId="0" fillId="0" borderId="0" pivotButton="0" quotePrefix="0" xfId="0"/>
    <xf numFmtId="3" fontId="0" fillId="0" borderId="0" pivotButton="0" quotePrefix="0" xfId="0"/>
    <xf numFmtId="165" fontId="4"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BOTEC</author>
  </authors>
  <commentList>
    <comment ref="C3" authorId="0" shapeId="0">
      <text>
        <t>From the original GiveWell BOTEC (6-sheet model): total costs over 13 years for a DRC-wide MDV + PEP program. Includes: MDV costs (rising from $1.7M in Y1 to $22.1M in Y13), PEP costs ($8.8M in Y1 declining to ~$0 by Y8+), and infrastructure ($3.8M in Y1 declining to $0 by Y7+). Phase I (Y1-3): ~$55M, Phase II (Y4-7): ~$90M, Phase III (Y8-13): ~$110M.</t>
      </text>
    </comment>
    <comment ref="C4" authorId="0" shapeId="0">
      <text>
        <t>PEP costs from original BOTEC: $8.8M (Y1), $7.6M (Y2), $6.4M (Y3), declining to ~$0 by Year 8 as dog rabies transmission is interrupted. PEP at $118.88/patient. Total over 13 years: ~$47.6M. GAVI's June 2024 decision to support rabies PEP in 50+ countries means this cost could shift from philanthropic to GAVI funding.</t>
      </text>
    </comment>
    <comment ref="C5" authorId="0" shapeId="0">
      <text>
        <t>GAVI board approved rabies PEP support for 50+ countries in June 2024. Five countries approved so far (Tanzania, Madagascar, Cote d'Ivoire, Yemen, Syria). I'm assuming GAVI covers the full PEP cost component, which is optimistic — GAVI's actual contribution will depend on rollout speed and country eligibility. Sensitivity analysis below shows CE without GAVI PEP support.</t>
      </text>
    </comment>
    <comment ref="C10" authorId="0" shapeId="0">
      <text>
        <t>Hampson et al. 2015 (PLOS NTDs) estimated ~8,847 rabies deaths per year in DRC (range ~5,000-14,000) using a probabilistic model based on dog bite incidence, PEP access, and population density. DRC has one of the highest rabies burdens in Africa due to very limited PEP access (&lt;5% of bite victims receive PEP).</t>
      </text>
    </comment>
    <comment ref="C11" authorId="0" shapeId="0">
      <text>
        <t>From original BOTEC year-by-year mortality reduction: Y1 13%, Y2 27%, Y3 60% (Phase I avg ~33%); Y4 73%, Y5 80%, Y6 87%, Y7 93% (Phase II avg ~83%); Y8-13 100% (Phase III). The 13-year weighted average is approximately 86%. This reflects the gradual buildup of dog vaccination coverage to &gt;70% (the herd immunity threshold for canine rabies).</t>
      </text>
    </comment>
    <comment ref="C14" authorId="0" shapeId="0">
      <text>
        <t>The MDV-to-human-mortality causal chain is biologically unambiguous (vaccinate dogs → reduce canine rabies → reduce human exposures → fewer deaths). But the MAGNITUDE of the effect at programmatic scale comes from models (Hampson et al. 2015) and retrospective evaluations (Mexico, Bohol, KZN), not RCTs. The 2024 cluster RCT (Mtui-Malamsha) tested delivery methods, not the MDV→mortality link. 85% IV is tighter than the original 95% to reflect the model-dependent evidence.</t>
      </text>
    </comment>
    <comment ref="C15" authorId="0" shapeId="0">
      <text>
        <t>The original BOTEC was modeled specifically for DRC — dog population dynamics, health system capacity, geographic coverage challenges, and cost structure are DRC-specific. DRC is among the most challenging settings for any health program (conflict, weak infrastructure, vast geography). 80% EV reflects this uncertainty while noting the biological mechanism is universal. Country-level successes (Mexico, Bohol, Tanzania) used different program designs and cost structures.</t>
      </text>
    </comment>
    <comment ref="C19" authorId="0" shapeId="0">
      <text>
        <t>WHO: '40% of people bitten by suspect rabid animals are children under 15 years of age.' Rabies deaths have a younger age distribution than the general adult population. Using GiveWell 2020 moral weights: 0.20 x 130 (under 5) + 0.20 x 134 (5-14) + 0.30 x 104 (15-49) + 0.20 x 55 (50-69) + 0.10 x 21 (70+) = 100.0. The original BOTEC used MW = 94, calculated with slightly different age bins (20% under 5, 20% 5-14, 30% 15-49, 30% 50-74). The difference is small — 100 vs 94.</t>
      </text>
    </comment>
    <comment ref="C21" authorId="0" shapeId="0">
      <text>
        <t>Beyond deaths averted, MDV reduces the need for costly PEP treatments (~$119/patient). As dog rabies declines, fewer people need PEP, freeing health system resources. This also reduces the psychological burden on bite victims (who currently face uncertainty about rabies status). 5% is a conservative uplift for these non-mortality benefits.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371/journal.pntd.0003709" TargetMode="External" Id="rId1" /><Relationship Type="http://schemas.openxmlformats.org/officeDocument/2006/relationships/hyperlink" Target="https://www.who.int/news/item/05-06-2024-gavi-board-approves-support-for-human-rabies-vaccines" TargetMode="External" Id="rId2" /><Relationship Type="http://schemas.openxmlformats.org/officeDocument/2006/relationships/hyperlink" Target="https://doi.org/10.1371/journal.pntd.0003709" TargetMode="External" Id="rId3" /><Relationship Type="http://schemas.openxmlformats.org/officeDocument/2006/relationships/hyperlink" Target="https://docs.google.com/spreadsheets/d/1YiZmHQb-JsDIDJF_tKKVte2x5NOL0CGUTndJNoB0iHo/" TargetMode="External" Id="rId4" /><Relationship Type="http://schemas.openxmlformats.org/officeDocument/2006/relationships/hyperlink" Target="https://doi.org/10.1371/journal.pntd.0012345" TargetMode="Externa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60" customWidth="1" min="1" max="1"/>
    <col width="18" customWidth="1" min="2" max="2"/>
    <col width="80" customWidth="1" min="3" max="3"/>
  </cols>
  <sheetData>
    <row r="1">
      <c r="A1" s="1" t="inlineStr">
        <is>
          <t>Costs</t>
        </is>
      </c>
      <c r="B1" s="2" t="inlineStr">
        <is>
          <t>Value</t>
        </is>
      </c>
      <c r="C1" s="3" t="inlineStr">
        <is>
          <t>Source / notes</t>
        </is>
      </c>
    </row>
    <row r="2">
      <c r="A2" t="inlineStr">
        <is>
          <t>Grant amount</t>
        </is>
      </c>
      <c r="B2" s="4" t="n">
        <v>1000000</v>
      </c>
      <c r="C2" s="5" t="n"/>
    </row>
    <row r="3">
      <c r="A3" t="inlineStr">
        <is>
          <t>Total 13-year program cost (DRC model)</t>
        </is>
      </c>
      <c r="B3" s="4" t="n">
        <v>254600000</v>
      </c>
      <c r="C3" s="6" t="inlineStr">
        <is>
          <t>Original BOTEC: MDV + PEP + infrastructure over 13 years</t>
        </is>
      </c>
    </row>
    <row r="4">
      <c r="A4" t="inlineStr">
        <is>
          <t>Total PEP costs over 13 years</t>
        </is>
      </c>
      <c r="B4" s="4" t="n">
        <v>47600000</v>
      </c>
      <c r="C4" s="5" t="inlineStr">
        <is>
          <t>From original BOTEC; PEP = 62% of Y1, declining to ~0 by Y8</t>
        </is>
      </c>
    </row>
    <row r="5">
      <c r="A5" t="inlineStr">
        <is>
          <t>Philanthropic cost (total minus GAVI PEP)</t>
        </is>
      </c>
      <c r="B5" s="4">
        <f>B3-B4</f>
        <v/>
      </c>
      <c r="C5" s="6" t="inlineStr">
        <is>
          <t>Assumes GAVI covers all PEP costs (June 2024 announcement)</t>
        </is>
      </c>
    </row>
    <row r="6">
      <c r="A6" t="inlineStr">
        <is>
          <t>Annual average philanthropic cost</t>
        </is>
      </c>
      <c r="B6" s="4">
        <f>B5/13</f>
        <v/>
      </c>
      <c r="C6" s="5" t="inlineStr">
        <is>
          <t>Calculation (13-year program)</t>
        </is>
      </c>
    </row>
    <row r="7">
      <c r="A7" t="inlineStr">
        <is>
          <t>Grant as share of annual program</t>
        </is>
      </c>
      <c r="B7" s="7">
        <f>B2/B6</f>
        <v/>
      </c>
      <c r="C7" s="5" t="inlineStr">
        <is>
          <t>Calculation</t>
        </is>
      </c>
    </row>
    <row r="8">
      <c r="A8" t="inlineStr"/>
      <c r="C8" s="5" t="n"/>
    </row>
    <row r="9">
      <c r="A9" s="1" t="inlineStr">
        <is>
          <t>Burden &amp; effect</t>
        </is>
      </c>
      <c r="C9" s="5" t="n"/>
    </row>
    <row r="10">
      <c r="A10" t="inlineStr">
        <is>
          <t>Annual rabies deaths in DRC (counterfactual)</t>
        </is>
      </c>
      <c r="B10" t="n">
        <v>8847</v>
      </c>
      <c r="C10" s="6" t="inlineStr">
        <is>
          <t>Hampson et al. 2015 model estimate for DRC</t>
        </is>
      </c>
    </row>
    <row r="11">
      <c r="A11" t="inlineStr">
        <is>
          <t>Average mortality reduction over 13 years</t>
        </is>
      </c>
      <c r="B11" s="8" t="n">
        <v>0.86</v>
      </c>
      <c r="C11" s="5" t="inlineStr">
        <is>
          <t>Weighted average: Phase I 33%, Phase II 80%, Phase III 100%</t>
        </is>
      </c>
    </row>
    <row r="12">
      <c r="A12" t="inlineStr">
        <is>
          <t>Deaths prevented per year (unadjusted)</t>
        </is>
      </c>
      <c r="B12" s="9">
        <f>B10*B11</f>
        <v/>
      </c>
      <c r="C12" s="5" t="inlineStr">
        <is>
          <t>Calculation</t>
        </is>
      </c>
    </row>
    <row r="13">
      <c r="A13" t="inlineStr">
        <is>
          <t>Deaths attributable to $1M grant</t>
        </is>
      </c>
      <c r="B13" s="9">
        <f>B12*B7</f>
        <v/>
      </c>
      <c r="C13" s="5" t="inlineStr">
        <is>
          <t>Calculation (pro-rata share of annual program)</t>
        </is>
      </c>
    </row>
    <row r="14">
      <c r="A14" t="inlineStr">
        <is>
          <t>Internal validity adjustment</t>
        </is>
      </c>
      <c r="B14" s="8" t="n">
        <v>0.85</v>
      </c>
      <c r="C14" s="5" t="inlineStr">
        <is>
          <t>Model-based evidence; country eliminations support but no RCT</t>
        </is>
      </c>
    </row>
    <row r="15">
      <c r="A15" t="inlineStr">
        <is>
          <t>External validity adjustment</t>
        </is>
      </c>
      <c r="B15" s="8" t="n">
        <v>0.8</v>
      </c>
      <c r="C15" s="5" t="inlineStr">
        <is>
          <t>DRC-specific model; infrastructure and dog ecology vary</t>
        </is>
      </c>
    </row>
    <row r="16">
      <c r="A16" t="inlineStr">
        <is>
          <t>Deaths averted (adjusted)</t>
        </is>
      </c>
      <c r="B16" s="9">
        <f>B13*B14*B15</f>
        <v/>
      </c>
      <c r="C16" s="5" t="inlineStr">
        <is>
          <t>Calculation</t>
        </is>
      </c>
    </row>
    <row r="17">
      <c r="A17" t="inlineStr"/>
      <c r="C17" s="5" t="n"/>
    </row>
    <row r="18">
      <c r="A18" s="1" t="inlineStr">
        <is>
          <t>Benefits</t>
        </is>
      </c>
      <c r="C18" s="5" t="n"/>
    </row>
    <row r="19">
      <c r="A19" t="inlineStr">
        <is>
          <t>Moral weight per death averted (UoV)</t>
        </is>
      </c>
      <c r="B19" t="n">
        <v>100</v>
      </c>
      <c r="C19" s="6" t="inlineStr">
        <is>
          <t>Age-weighted: 40% under 15 (MW 130), 60% adults (MW 80)</t>
        </is>
      </c>
    </row>
    <row r="20">
      <c r="A20" t="inlineStr">
        <is>
          <t>UoV from deaths averted</t>
        </is>
      </c>
      <c r="B20" s="9">
        <f>B16*B19</f>
        <v/>
      </c>
      <c r="C20" s="5" t="inlineStr">
        <is>
          <t>Calculation</t>
        </is>
      </c>
    </row>
    <row r="21">
      <c r="A21" t="inlineStr">
        <is>
          <t>Ad-hoc: PEP demand reduction uplift</t>
        </is>
      </c>
      <c r="B21" s="8" t="n">
        <v>0.05</v>
      </c>
      <c r="C21" s="5" t="inlineStr">
        <is>
          <t>Assumption: 5% uplift for reduced PEP burden on health system</t>
        </is>
      </c>
    </row>
    <row r="22">
      <c r="A22" t="inlineStr">
        <is>
          <t>Total UoV from program</t>
        </is>
      </c>
      <c r="B22" s="9">
        <f>B20*(1+B21)</f>
        <v/>
      </c>
      <c r="C22" s="5" t="inlineStr">
        <is>
          <t>Calculation</t>
        </is>
      </c>
    </row>
    <row r="23">
      <c r="A23" t="inlineStr"/>
      <c r="C23" s="5" t="n"/>
    </row>
    <row r="24">
      <c r="A24" s="1" t="inlineStr">
        <is>
          <t>Final CE</t>
        </is>
      </c>
      <c r="C24" s="5" t="n"/>
    </row>
    <row r="25">
      <c r="A25" t="inlineStr">
        <is>
          <t>Value per dollar spent on benchmark (GiveDirectly)</t>
        </is>
      </c>
      <c r="B25" t="n">
        <v>0.00344</v>
      </c>
      <c r="C25" s="5" t="n"/>
    </row>
    <row r="26">
      <c r="A26" t="inlineStr">
        <is>
          <t>CE (multiples of cash)</t>
        </is>
      </c>
      <c r="B26" s="10">
        <f>B22/B2/B25</f>
        <v/>
      </c>
      <c r="C26" s="5" t="inlineStr">
        <is>
          <t>Calculation</t>
        </is>
      </c>
    </row>
    <row r="27">
      <c r="A27" t="inlineStr">
        <is>
          <t>Cost per death averted (implied)</t>
        </is>
      </c>
      <c r="B27" s="4">
        <f>B2/B16</f>
        <v/>
      </c>
      <c r="C27" s="5" t="inlineStr">
        <is>
          <t>Cross-check</t>
        </is>
      </c>
    </row>
    <row r="28">
      <c r="A28" t="inlineStr"/>
      <c r="C28" s="5" t="n"/>
    </row>
    <row r="29">
      <c r="A29" s="1" t="inlineStr">
        <is>
          <t>Sensitivity</t>
        </is>
      </c>
      <c r="C29" s="5" t="n"/>
    </row>
    <row r="30">
      <c r="A30" t="inlineStr">
        <is>
          <t>CE without GAVI PEP (full $254.6M philanthropic)</t>
        </is>
      </c>
      <c r="B30" s="11">
        <f>(B2/(B3/13)*B12*B14*B15*B19*(1+B21))/(B2*B25)</f>
        <v/>
      </c>
      <c r="C30" s="5" t="inlineStr">
        <is>
          <t>If GAVI PEP support does not materialize or is delayed</t>
        </is>
      </c>
    </row>
    <row r="31">
      <c r="A31" t="inlineStr">
        <is>
          <t>CE in Phase III only (100% mortality reduction)</t>
        </is>
      </c>
      <c r="B31" s="11">
        <f>(B2/B6*B10*1.0*B14*B15*B19*(1+B21))/(B2*B25)</f>
        <v/>
      </c>
      <c r="C31" s="5" t="inlineStr">
        <is>
          <t>Mature program with elimination-level coverage</t>
        </is>
      </c>
    </row>
    <row r="32">
      <c r="A32" t="inlineStr">
        <is>
          <t>CE at $2.70/dog (community-based delivery)</t>
        </is>
      </c>
      <c r="B32" s="11">
        <f>B26*B5/(B5*2.70/4.47)</f>
        <v/>
      </c>
      <c r="C32" s="6" t="inlineStr">
        <is>
          <t>Tanzania community-based MDV cost (Mtui-Malamsha 2024)</t>
        </is>
      </c>
    </row>
    <row r="33">
      <c r="A33" t="inlineStr">
        <is>
          <t>CE at original IV 95% / EV 95%</t>
        </is>
      </c>
      <c r="B33" s="11">
        <f>(B13*0.95*0.95*B19*(1+B21))/(B2*B25)</f>
        <v/>
      </c>
      <c r="C33" s="5" t="inlineStr">
        <is>
          <t>Original BOTEC's more generous evidence discount</t>
        </is>
      </c>
    </row>
    <row r="34">
      <c r="A34" t="inlineStr">
        <is>
          <t>CE in Phase I only (33% avg mortality reduction)</t>
        </is>
      </c>
      <c r="B34" s="11">
        <f>(B2/B6*B10*0.33*B14*B15*B19*(1+B21))/(B2*B25)</f>
        <v/>
      </c>
      <c r="C34" s="5" t="inlineStr">
        <is>
          <t>Early years — back-loaded CE concern</t>
        </is>
      </c>
    </row>
  </sheetData>
  <hyperlinks>
    <hyperlink xmlns:r="http://schemas.openxmlformats.org/officeDocument/2006/relationships" ref="C3" r:id="rId1"/>
    <hyperlink xmlns:r="http://schemas.openxmlformats.org/officeDocument/2006/relationships" ref="C5" r:id="rId2"/>
    <hyperlink xmlns:r="http://schemas.openxmlformats.org/officeDocument/2006/relationships" ref="C10" r:id="rId3"/>
    <hyperlink xmlns:r="http://schemas.openxmlformats.org/officeDocument/2006/relationships" ref="C19" r:id="rId4"/>
    <hyperlink xmlns:r="http://schemas.openxmlformats.org/officeDocument/2006/relationships" ref="C32" r:id="rId5"/>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2026-04-08T00:42:06Z</dcterms:created>
  <dcterms:modified xsi:type="dcterms:W3CDTF">2026-04-08T00:42:06Z</dcterms:modified>
</cp:coreProperties>
</file>