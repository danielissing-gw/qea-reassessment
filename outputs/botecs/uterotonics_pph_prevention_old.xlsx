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Calculation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/>
  </fonts>
  <fills count="4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5" customWidth="1" min="1" max="1"/>
    <col width="18" customWidth="1" min="2" max="2"/>
    <col width="22" customWidth="1" min="3" max="3"/>
    <col width="60" customWidth="1" min="4" max="4"/>
    <col width="80" customWidth="1" min="5" max="5"/>
  </cols>
  <sheetData>
    <row r="1">
      <c r="A1" s="1" t="inlineStr">
        <is>
          <t>Parameter</t>
        </is>
      </c>
      <c r="B1" s="1" t="inlineStr">
        <is>
          <t>Original value</t>
        </is>
      </c>
      <c r="C1" s="1" t="inlineStr">
        <is>
          <t>Updated value</t>
        </is>
      </c>
      <c r="D1" s="1" t="inlineStr">
        <is>
          <t>Source</t>
        </is>
      </c>
      <c r="E1" s="1" t="inlineStr">
        <is>
          <t>Notes</t>
        </is>
      </c>
    </row>
    <row r="2">
      <c r="A2" s="1" t="inlineStr">
        <is>
          <t>── SECTION A: Tranexamic Acid (TXA) for PPH Treatment ──</t>
        </is>
      </c>
    </row>
    <row r="3">
      <c r="A3" t="inlineStr">
        <is>
          <t>PPH mortality rate with standard care (placebo arm, WOMAN trial)</t>
        </is>
      </c>
      <c r="B3" s="2" t="n">
        <v>0.019</v>
      </c>
      <c r="C3" s="2" t="n">
        <v>0.019</v>
      </c>
      <c r="D3" t="inlineStr">
        <is>
          <t>https://pmc.ncbi.nlm.nih.gov/articles/PMC2864262/</t>
        </is>
      </c>
      <c r="E3" t="inlineStr">
        <is>
          <t>WOMAN trial placebo: 191/9,985 = 1.91%. Rounded to 1.9%. Unchanged.</t>
        </is>
      </c>
    </row>
    <row r="4">
      <c r="A4" t="inlineStr">
        <is>
          <t>Relative risk of death from bleeding with TXA vs placebo (WOMAN trial)</t>
        </is>
      </c>
      <c r="C4" s="2" t="n">
        <v>0.8100000000000001</v>
      </c>
      <c r="D4" t="inlineStr">
        <is>
          <t>http://www.thelancet.com/journals/lancet/article/PIIS0140-6736(17)30638-4/fulltext</t>
        </is>
      </c>
      <c r="E4" t="inlineStr">
        <is>
          <t>Original BOTEC did not model this. WOMAN trial RR = 0.81 (95% CI 0.65–1.00). 2024 Lancet meta-analysis reports 31% mortality reduction within 3 hours (source: secondary; could not access full Lancet 2024 paper).</t>
        </is>
      </c>
    </row>
    <row r="5">
      <c r="A5" t="inlineStr">
        <is>
          <t>Absolute risk reduction in death per PPH case treated (= row 2 × (1 - row 3))</t>
        </is>
      </c>
      <c r="C5" s="3" t="inlineStr">
        <is>
          <t>see Calculation sheet</t>
        </is>
      </c>
      <c r="D5" t="inlineStr">
        <is>
          <t>calculation</t>
        </is>
      </c>
      <c r="E5" t="inlineStr"/>
    </row>
    <row r="6">
      <c r="A6" t="inlineStr">
        <is>
          <t>TXA drug cost per patient (generic, LMIC, 2024 estimate)</t>
        </is>
      </c>
      <c r="B6" s="2" t="n">
        <v>17.48</v>
      </c>
      <c r="C6" s="2" t="n">
        <v>3</v>
      </c>
      <c r="D6" t="inlineStr">
        <is>
          <t>assumption</t>
        </is>
      </c>
      <c r="E6" t="inlineStr">
        <is>
          <t>Original: $17.48 from Guerriero et al. 2011 (Tanzania, includes hospital stay and nurse labor — not drug alone). Updated: I'm estimating $1–5 for TXA drug alone (generic, off-patent); $3 is a rough midpoint. No specific current LMIC price source found — this needs verification.</t>
        </is>
      </c>
    </row>
    <row r="7">
      <c r="A7" t="inlineStr">
        <is>
          <t>Program cost multiplier (training, supply chain, monitoring, over drug cost)</t>
        </is>
      </c>
      <c r="C7" s="2" t="n">
        <v>10</v>
      </c>
      <c r="D7" t="inlineStr">
        <is>
          <t>assumption</t>
        </is>
      </c>
      <c r="E7" t="inlineStr">
        <is>
          <t>I'm assuming program delivery costs 10x the drug cost, as a rough midpoint. This is highly uncertain — AMPLI-PPHI program may have real data by 2026.</t>
        </is>
      </c>
    </row>
    <row r="8">
      <c r="A8" t="inlineStr">
        <is>
          <t>Total program cost per PPH case treated</t>
        </is>
      </c>
      <c r="C8" s="3" t="inlineStr">
        <is>
          <t>see Calculation sheet</t>
        </is>
      </c>
      <c r="D8" t="inlineStr">
        <is>
          <t>calculation</t>
        </is>
      </c>
      <c r="E8">
        <f> drug cost × program multiplier</f>
        <v/>
      </c>
    </row>
    <row r="9">
      <c r="A9" t="inlineStr">
        <is>
          <t>Cost per death averted (= total cost per case / absolute risk reduction)</t>
        </is>
      </c>
      <c r="C9" s="3" t="inlineStr">
        <is>
          <t>see Calculation sheet</t>
        </is>
      </c>
      <c r="D9" t="inlineStr">
        <is>
          <t>calculation</t>
        </is>
      </c>
      <c r="E9" t="inlineStr"/>
    </row>
    <row r="10">
      <c r="A10" t="inlineStr">
        <is>
          <t>GiveWell CE benchmark: cost per death averted equivalent for GiveDirectly</t>
        </is>
      </c>
      <c r="C10" s="2" t="n">
        <v>4500</v>
      </c>
      <c r="D10" t="inlineStr">
        <is>
          <t>assumption</t>
        </is>
      </c>
      <c r="E10" t="inlineStr">
        <is>
          <t>I'm assuming GiveDirectly is ~$4,500/death averted equivalent (rough estimate; GiveWell's exact figure depends on moral weights and year). Needs verification.</t>
        </is>
      </c>
    </row>
    <row r="11">
      <c r="A11" t="inlineStr">
        <is>
          <t>Multiples of GiveDirectly (= benchmark / cost per death averted)</t>
        </is>
      </c>
      <c r="C11" s="3" t="inlineStr">
        <is>
          <t>see Calculation sheet</t>
        </is>
      </c>
      <c r="D11" t="inlineStr">
        <is>
          <t>calculation</t>
        </is>
      </c>
      <c r="E11" t="inlineStr"/>
    </row>
    <row r="12">
      <c r="A12" s="1" t="inlineStr">
        <is>
          <t>── SECTION B: Heat-Stable Carbetocin (HSC) for PPH Prevention ──</t>
        </is>
      </c>
    </row>
    <row r="13">
      <c r="A13" t="inlineStr">
        <is>
          <t>HSC drug cost per birth (LMIC public sector, Ferring subsidized price)</t>
        </is>
      </c>
      <c r="C13" s="2" t="n">
        <v>0.31</v>
      </c>
      <c r="D13" t="inlineStr">
        <is>
          <t>https://www.ghsupplychain.org/sites/default/files/2023-07/HSC_20230630.pdf</t>
        </is>
      </c>
      <c r="E13" t="inlineStr">
        <is>
          <t>Ferring provides at $0.31 ± 10% per ampoule for public sector in LMICs. Not in original QEA.</t>
        </is>
      </c>
    </row>
    <row r="14">
      <c r="A14" t="inlineStr">
        <is>
          <t>Additional PPH cases prevented per 100,000 facility births (vs standard care)</t>
        </is>
      </c>
      <c r="C14" s="2" t="n">
        <v>5500</v>
      </c>
      <c r="D14" t="inlineStr">
        <is>
          <t>assumption</t>
        </is>
      </c>
      <c r="E14" t="inlineStr">
        <is>
          <t>From a 2023 India modeling study cited in PMC review (https://pmc.ncbi.nlm.nih.gov/articles/PMC12145113/). I could not access the full India study — treating with medium confidence.</t>
        </is>
      </c>
    </row>
    <row r="15">
      <c r="A15" t="inlineStr">
        <is>
          <t>Maternal lives saved per 100,000 births with HSC (vs standard care)</t>
        </is>
      </c>
      <c r="C15" s="2" t="n">
        <v>5</v>
      </c>
      <c r="D15" t="inlineStr">
        <is>
          <t>assumption</t>
        </is>
      </c>
      <c r="E15" t="inlineStr">
        <is>
          <t>Same India modeling study. Highly context-dependent.</t>
        </is>
      </c>
    </row>
    <row r="16">
      <c r="A16" t="inlineStr">
        <is>
          <t>Drug cost per life saved (= drug cost × 100,000 births / lives saved)</t>
        </is>
      </c>
      <c r="C16" s="3" t="inlineStr">
        <is>
          <t>see Calculation sheet</t>
        </is>
      </c>
      <c r="D16" t="inlineStr">
        <is>
          <t>calculation</t>
        </is>
      </c>
      <c r="E16">
        <f> row 13 × 100,000 / row 15</f>
        <v/>
      </c>
    </row>
    <row r="17">
      <c r="A17" t="inlineStr">
        <is>
          <t>Estimated full program cost per life saved (assuming program = 20x drug cost)</t>
        </is>
      </c>
      <c r="C17" s="3" t="inlineStr">
        <is>
          <t>see Calculation sheet</t>
        </is>
      </c>
      <c r="D17" t="inlineStr">
        <is>
          <t>calculation</t>
        </is>
      </c>
      <c r="E17">
        <f> row 16 × 20. I'm assuming 20x drug cost for full program; highly uncertain.</f>
        <v/>
      </c>
    </row>
    <row r="18">
      <c r="A18" t="inlineStr">
        <is>
          <t>Multiples of GiveDirectly (= benchmark / full program cost per life saved)</t>
        </is>
      </c>
      <c r="C18" s="3" t="inlineStr">
        <is>
          <t>see Calculation sheet</t>
        </is>
      </c>
      <c r="D18" t="inlineStr">
        <is>
          <t>calculation</t>
        </is>
      </c>
      <c r="E18">
        <f> row 9 / row 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45" customWidth="1" min="3" max="3"/>
  </cols>
  <sheetData>
    <row r="1">
      <c r="A1" s="4" t="inlineStr">
        <is>
          <t>SECTION A: TXA for PPH Treatment</t>
        </is>
      </c>
    </row>
    <row r="2">
      <c r="A2" s="1" t="inlineStr">
        <is>
          <t>Description</t>
        </is>
      </c>
      <c r="B2" s="1" t="inlineStr">
        <is>
          <t>Formula / Value</t>
        </is>
      </c>
      <c r="C2" s="1" t="inlineStr">
        <is>
          <t>Notes</t>
        </is>
      </c>
    </row>
    <row r="3">
      <c r="A3" t="inlineStr">
        <is>
          <t>PPH mortality rate (placebo)</t>
        </is>
      </c>
      <c r="B3">
        <f>Parameters!C3</f>
        <v/>
      </c>
      <c r="C3" t="inlineStr">
        <is>
          <t>1.9%</t>
        </is>
      </c>
    </row>
    <row r="4">
      <c r="A4" t="inlineStr">
        <is>
          <t>RR of death with TXA</t>
        </is>
      </c>
      <c r="B4">
        <f>Parameters!C4</f>
        <v/>
      </c>
      <c r="C4" t="inlineStr">
        <is>
          <t>0.81</t>
        </is>
      </c>
    </row>
    <row r="5">
      <c r="A5" t="inlineStr">
        <is>
          <t>Absolute risk reduction (deaths per PPH case)</t>
        </is>
      </c>
      <c r="B5">
        <f>C3*(1-C4)</f>
        <v/>
      </c>
      <c r="C5">
        <f> mortality rate × (1 - RR)</f>
        <v/>
      </c>
    </row>
    <row r="6">
      <c r="A6" t="inlineStr">
        <is>
          <t>TXA drug cost per patient ($)</t>
        </is>
      </c>
      <c r="B6">
        <f>Parameters!C6</f>
        <v/>
      </c>
      <c r="C6" t="inlineStr"/>
    </row>
    <row r="7">
      <c r="A7" t="inlineStr">
        <is>
          <t>Program cost multiplier</t>
        </is>
      </c>
      <c r="B7">
        <f>Parameters!C7</f>
        <v/>
      </c>
      <c r="C7" t="inlineStr"/>
    </row>
    <row r="8">
      <c r="A8" t="inlineStr">
        <is>
          <t>Total cost per PPH case treated ($)</t>
        </is>
      </c>
      <c r="B8">
        <f>C6*C7</f>
        <v/>
      </c>
      <c r="C8" t="inlineStr">
        <is>
          <t>drug × multiplier</t>
        </is>
      </c>
    </row>
    <row r="9">
      <c r="A9" t="inlineStr">
        <is>
          <t>Cost per death averted ($)</t>
        </is>
      </c>
      <c r="B9">
        <f>C8/C5</f>
        <v/>
      </c>
      <c r="C9" t="inlineStr">
        <is>
          <t>total cost / ARR</t>
        </is>
      </c>
    </row>
    <row r="10">
      <c r="A10" t="inlineStr">
        <is>
          <t>GiveDirectly benchmark ($/death averted)</t>
        </is>
      </c>
      <c r="B10">
        <f>Parameters!C10</f>
        <v/>
      </c>
      <c r="C10" t="inlineStr"/>
    </row>
    <row r="11">
      <c r="A11" t="inlineStr">
        <is>
          <t>MULTIPLES OF CASH — TXA</t>
        </is>
      </c>
      <c r="B11" s="4">
        <f>C10/C9</f>
        <v/>
      </c>
      <c r="C11" t="inlineStr"/>
    </row>
    <row r="14">
      <c r="A14" s="4" t="inlineStr">
        <is>
          <t>SECTION B: Heat-Stable Carbetocin for PPH Prevention</t>
        </is>
      </c>
    </row>
    <row r="15">
      <c r="A15" s="1" t="inlineStr">
        <is>
          <t>Description</t>
        </is>
      </c>
      <c r="B15" s="1" t="inlineStr">
        <is>
          <t>Formula / Value</t>
        </is>
      </c>
      <c r="C15" s="1" t="inlineStr">
        <is>
          <t>Notes</t>
        </is>
      </c>
    </row>
    <row r="16">
      <c r="A16" t="inlineStr">
        <is>
          <t>HSC drug cost per birth ($)</t>
        </is>
      </c>
      <c r="B16">
        <f>Parameters!C13</f>
        <v/>
      </c>
      <c r="C16" t="inlineStr">
        <is>
          <t>$0.31</t>
        </is>
      </c>
    </row>
    <row r="17">
      <c r="A17" t="inlineStr">
        <is>
          <t>Lives saved per 100,000 births</t>
        </is>
      </c>
      <c r="B17">
        <f>Parameters!C15</f>
        <v/>
      </c>
      <c r="C17" t="inlineStr">
        <is>
          <t>5</t>
        </is>
      </c>
    </row>
    <row r="18">
      <c r="A18" t="inlineStr">
        <is>
          <t>Drug cost per life saved ($)</t>
        </is>
      </c>
      <c r="B18">
        <f>Parameters!C13*100000/Parameters!C15</f>
        <v/>
      </c>
      <c r="C18" t="inlineStr"/>
    </row>
    <row r="19">
      <c r="A19" t="inlineStr">
        <is>
          <t>Program cost per life saved (drug × 20x)</t>
        </is>
      </c>
      <c r="B19">
        <f>C17*20</f>
        <v/>
      </c>
      <c r="C19" t="inlineStr">
        <is>
          <t>Very rough; assuming 20x drug cost for program</t>
        </is>
      </c>
    </row>
    <row r="20">
      <c r="A20" t="inlineStr">
        <is>
          <t>GiveDirectly benchmark ($/death averted)</t>
        </is>
      </c>
      <c r="B20">
        <f>Parameters!C10</f>
        <v/>
      </c>
      <c r="C20" t="inlineStr"/>
    </row>
    <row r="21">
      <c r="A21" t="inlineStr">
        <is>
          <t>MULTIPLES OF CASH — HSC</t>
        </is>
      </c>
      <c r="B21" s="4">
        <f>C19/C18</f>
        <v/>
      </c>
      <c r="C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Key caveats</t>
        </is>
      </c>
    </row>
    <row r="2">
      <c r="A2" s="5" t="inlineStr"/>
    </row>
    <row r="3">
      <c r="A3" s="1" t="inlineStr">
        <is>
          <t>1. Misoprostol for PPH prevention is NOT modeled here.</t>
        </is>
      </c>
      <c r="B3" t="inlineStr">
        <is>
          <t>The original QEA focused on misoprostol (PSI program). WHO 2025 now designates misoprostol as a 'last resort' when no injectable options are available. No mortality evidence exists. This intervention is effectively off the table.</t>
        </is>
      </c>
    </row>
    <row r="4">
      <c r="A4" s="5" t="inlineStr"/>
    </row>
    <row r="5">
      <c r="A5" s="1" t="inlineStr">
        <is>
          <t>2. TXA model has very high uncertainty.</t>
        </is>
      </c>
      <c r="B5" t="inlineStr">
        <is>
          <t>The $3 drug cost and 10x program multiplier are rough assumptions. AMPLI-PPHI (Jhpiego/Unitaid, 2022-2026) should have real cost data; that program is generating CE evidence.</t>
        </is>
      </c>
    </row>
    <row r="6">
      <c r="A6" s="5" t="inlineStr"/>
    </row>
    <row r="7">
      <c r="A7" s="1" t="inlineStr">
        <is>
          <t>3. Heat-stable carbetocin was not in the original QEA.</t>
        </is>
      </c>
      <c r="B7" t="inlineStr">
        <is>
          <t>HSC is the most important new development in the PPH space since 2017. At $0.31/ampoule and WHO-recommended, it should be modeled separately with full program cost data.</t>
        </is>
      </c>
    </row>
    <row r="8">
      <c r="A8" s="5" t="inlineStr"/>
    </row>
    <row r="9">
      <c r="A9" s="1" t="inlineStr">
        <is>
          <t>4. Major implementers are now active.</t>
        </is>
      </c>
      <c r="B9" t="inlineStr">
        <is>
          <t>Unitaid AMPLI-PPHI ($26M, 2022-2026) is scaling up exactly these interventions in 6 countries. Room for more funding depends on geographic gaps and whether this program addresses the whole opportunity.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2026-02-21T01:39:39Z</dcterms:created>
  <dcterms:modified xsi:type="dcterms:W3CDTF">2026-02-21T01:39:39Z</dcterms:modified>
</cp:coreProperties>
</file>