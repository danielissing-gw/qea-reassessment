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000FF"/>
      <u val="single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0" fontId="3" fillId="0" borderId="0" applyAlignment="1" pivotButton="0" quotePrefix="0" xfId="0">
      <alignment wrapText="1"/>
    </xf>
    <xf numFmtId="3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166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BOTEC</author>
  </authors>
  <commentList>
    <comment ref="C3" authorId="0" shapeId="0">
      <text>
        <t>Hamza et al. 2016 (PLOS NTDs, 16 West African countries): 'The cost per death averted ranged from US$1,997 in Guinea-Bissau to US$6,205 in Sierra Leone and Liberia.' Average treatment cost ~$124, based on EchiTAb-G (monospecific, ~1 vial for carpet viper) and EchiTAb Plus-ICP (~3 vials, ~$41/vial). This is dramatically lower than the $900/5-vial dose assumed in the original BOTEC, which used the more expensive polyvalent antivenoms.</t>
      </text>
    </comment>
    <comment ref="C4" authorId="0" shapeId="0">
      <text>
        <t>Antivenom requires IV administration in a health facility, with cold chain storage, trained health workers, and observation periods. Program overhead includes: procurement and supply chain management, cold chain maintenance (antivenoms are temperature-sensitive), health worker training (species identification, dosing protocols, anaphylaxis management), and monitoring. I'm assuming $51/patient overhead (~41% of drug cost), giving $175 total. This is uncertain — the Hamza CEA included some but not all programmatic costs.</t>
      </text>
    </comment>
    <comment ref="C9" authorId="0" shapeId="0">
      <text>
        <t>Carpet viper (Echis ocellatus) is responsible for ~66% of snakebite deaths in West Africa. Untreated envenomation CFR for carpet viper: ~15% (range 10-20% from hospital-based studies in Nigeria). For other species (cobra, mamba, puff adder), untreated envenomation CFR: ~3-5%. Weighted: 0.66 x 0.15 + 0.34 x 0.03 = 10.9%, rounded to 10%. Note: this is for ENVENOMED patients only — 'dry bites' (no venom) are excluded.</t>
      </text>
    </comment>
    <comment ref="C10" authorId="0" shapeId="0">
      <text>
        <t>Habib &amp; Warrell 2013 meta-analysis of 4 observational studies: OR 0.25 for mortality with antivenom vs. without. This corresponds to a ~75% reduction in mortality. The evidence is entirely observational (no RCTs exist and a placebo-controlled trial would be unethical), but with strong biological plausibility and consistent results across studies. The IV adjustment accounts for the non-randomized evidence base.</t>
      </text>
    </comment>
    <comment ref="C13" authorId="0" shapeId="0">
      <text>
        <t>All evidence on antivenom effectiveness comes from observational studies. No RCT exists and a placebo-controlled RCT would be unethical given antivenom's established biological mechanism. 70% IV reflects the inherent limitation of observational evidence while crediting the strong biological plausibility (antivenom directly neutralizes circulating venom) and the consistency of the OR 0.25 across 4 studies.</t>
      </text>
    </comment>
    <comment ref="C14" authorId="0" shapeId="0">
      <text>
        <t>The West African CEA data (Hamza 2016) and the mortality reduction estimate (Habib &amp; Warrell 2013) are both from West Africa, primarily Nigeria. Antivenom effectiveness varies by snake species — EchiTAb products are specific to Echis ocellatus (carpet viper). Different polyvalent antivenoms would be needed for South Asian species (e.g., Big 4 in India). Health system capacity for IV administration also varies. 70% EV reflects these generalizability concerns while acknowledging that the biological mechanism transfers across settings.</t>
      </text>
    </comment>
    <comment ref="C15" authorId="0" shapeId="0">
      <text>
        <t>Not all procured antivenom is effectively used. Sources of wastage include: (1) antivenom expiry before use (limited shelf life + unpredictable demand); (2) species mismatch (patient bitten by species not covered by available antivenom); (3) patients arriving too late for antivenom to be effective; (4) anaphylactic reactions requiring treatment discontinuation. 80% efficiency (20% wastage) is the same assumption as the original BOTEC.</t>
      </text>
    </comment>
    <comment ref="C19" authorId="0" shapeId="0">
      <text>
        <t>Snakebite deaths have a younger age distribution than assumed in the original BOTEC. From GBD 2019 India data (&gt;80% of global burden): 28% under 15 (MW ~130), 17% ages 15-29 (MW ~120), 47% ages 30-69 (MW ~40-106), 9% ages 70+ (MW ~21). Weighted average: 0.28 x 130 + 0.17 x 120 + 0.30 x 93 + 0.17 x 55 + 0.09 x 21 = 95.4, rounded to 95. The original BOTEC implicitly used ~40 UoV (adult equivalent) which substantially undervalued snakebite deaths.</t>
      </text>
    </comment>
    <comment ref="C21" authorId="0" shapeId="0">
      <text>
        <t>Snakebite envenomation causes significant chronic morbidity in survivors: tissue necrosis requiring amputation (~2-5% of carpet viper victims), chronic pain, renal damage, and psychological trauma. WHO estimates 400,000+ people live with permanent disabilities from snakebite. Antivenom reduces severity of these outcomes. 10% is a conservative morbidity uplift.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urnals.plos.org/plosntds/article?id=10.1371/journal.pntd.0004568" TargetMode="External" Id="rId1" /><Relationship Type="http://schemas.openxmlformats.org/officeDocument/2006/relationships/hyperlink" Target="https://docs.google.com/spreadsheets/d/1YiZmHQb-JsDIDJF_tKKVte2x5NOL0CGUTndJNoB0iHo/" TargetMode="External" Id="rId2" /><Relationship Type="http://schemas.openxmlformats.org/officeDocument/2006/relationships/hyperlink" Target="https://journals.plos.org/plosntds/article?id=10.1371/journal.pntd.0004568" TargetMode="External" Id="rId3" /><Relationship Type="http://schemas.openxmlformats.org/officeDocument/2006/relationships/hyperlink" Target="https://www.globenewswire.com/news-release/2025/12/11/3203856/0/en/Ophirex-Announces-Business-Update-Advances-Toward-Food-and-Drug-Administration-FDA-Approval-for-Varespladib-as-Novel-Oral-Snakebite-Treatment.html" TargetMode="External" Id="rId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</cols>
  <sheetData>
    <row r="1">
      <c r="A1" s="1" t="inlineStr">
        <is>
          <t>Costs</t>
        </is>
      </c>
      <c r="B1" s="2" t="inlineStr">
        <is>
          <t>Value</t>
        </is>
      </c>
      <c r="C1" s="3" t="inlineStr">
        <is>
          <t>Source / notes</t>
        </is>
      </c>
    </row>
    <row r="2">
      <c r="A2" t="inlineStr">
        <is>
          <t>Grant amount</t>
        </is>
      </c>
      <c r="B2" s="4" t="n">
        <v>1000000</v>
      </c>
      <c r="C2" s="5" t="n"/>
    </row>
    <row r="3">
      <c r="A3" t="inlineStr">
        <is>
          <t>Antivenom + direct treatment cost per patient</t>
        </is>
      </c>
      <c r="B3" s="6" t="n">
        <v>124</v>
      </c>
      <c r="C3" s="7" t="inlineStr">
        <is>
          <t>West African EchiTAb average (Hamza et al. 2016)</t>
        </is>
      </c>
    </row>
    <row r="4">
      <c r="A4" t="inlineStr">
        <is>
          <t>Program overhead per patient (cold chain, distribution, training)</t>
        </is>
      </c>
      <c r="B4" s="6" t="n">
        <v>51</v>
      </c>
      <c r="C4" s="5" t="inlineStr">
        <is>
          <t>Assumption: ~41% overhead on treatment cost</t>
        </is>
      </c>
    </row>
    <row r="5">
      <c r="A5" t="inlineStr">
        <is>
          <t>Total cost per treatment</t>
        </is>
      </c>
      <c r="B5" s="6">
        <f>B3+B4</f>
        <v/>
      </c>
      <c r="C5" s="5" t="inlineStr">
        <is>
          <t>Calculation</t>
        </is>
      </c>
    </row>
    <row r="6">
      <c r="A6" t="inlineStr">
        <is>
          <t>Patients treated</t>
        </is>
      </c>
      <c r="B6" s="8">
        <f>B2/B5</f>
        <v/>
      </c>
      <c r="C6" s="5" t="inlineStr">
        <is>
          <t>Calculation</t>
        </is>
      </c>
    </row>
    <row r="7">
      <c r="A7" t="inlineStr"/>
      <c r="C7" s="5" t="n"/>
    </row>
    <row r="8">
      <c r="A8" s="1" t="inlineStr">
        <is>
          <t>Burden &amp; effect</t>
        </is>
      </c>
      <c r="C8" s="5" t="n"/>
    </row>
    <row r="9">
      <c r="A9" t="inlineStr">
        <is>
          <t>Weighted untreated case fatality rate</t>
        </is>
      </c>
      <c r="B9" s="9" t="n">
        <v>0.1</v>
      </c>
      <c r="C9" s="5" t="inlineStr">
        <is>
          <t>Weighted: 66% carpet viper (15% CFR) + 34% other (3% CFR)</t>
        </is>
      </c>
    </row>
    <row r="10">
      <c r="A10" t="inlineStr">
        <is>
          <t>Mortality reduction with antivenom treatment</t>
        </is>
      </c>
      <c r="B10" s="9" t="n">
        <v>0.75</v>
      </c>
      <c r="C10" s="5" t="inlineStr">
        <is>
          <t>OR 0.25 from meta-analysis of 4 observational studies (Habib &amp; Warrell 2013)</t>
        </is>
      </c>
    </row>
    <row r="11">
      <c r="A11" t="inlineStr">
        <is>
          <t>Absolute risk reduction</t>
        </is>
      </c>
      <c r="B11" s="10">
        <f>B9*B10</f>
        <v/>
      </c>
      <c r="C11" s="5" t="inlineStr">
        <is>
          <t>Calculation</t>
        </is>
      </c>
    </row>
    <row r="12">
      <c r="A12" t="inlineStr">
        <is>
          <t>Deaths before adjustments</t>
        </is>
      </c>
      <c r="B12" s="8">
        <f>B6*B11</f>
        <v/>
      </c>
      <c r="C12" s="5" t="inlineStr">
        <is>
          <t>Calculation</t>
        </is>
      </c>
    </row>
    <row r="13">
      <c r="A13" t="inlineStr">
        <is>
          <t>Internal validity adjustment</t>
        </is>
      </c>
      <c r="B13" s="9" t="n">
        <v>0.7</v>
      </c>
      <c r="C13" s="5" t="inlineStr">
        <is>
          <t>No RCTs; observational evidence only but biologically plausible</t>
        </is>
      </c>
    </row>
    <row r="14">
      <c r="A14" t="inlineStr">
        <is>
          <t>External validity adjustment</t>
        </is>
      </c>
      <c r="B14" s="9" t="n">
        <v>0.7</v>
      </c>
      <c r="C14" s="5" t="inlineStr">
        <is>
          <t>West African data; snake species and health systems vary across regions</t>
        </is>
      </c>
    </row>
    <row r="15">
      <c r="A15" t="inlineStr">
        <is>
          <t>Wastage / inefficiency factor</t>
        </is>
      </c>
      <c r="B15" s="9" t="n">
        <v>0.8</v>
      </c>
      <c r="C15" s="5" t="inlineStr">
        <is>
          <t>20% waste from expiry, species mismatch, late presentation</t>
        </is>
      </c>
    </row>
    <row r="16">
      <c r="A16" t="inlineStr">
        <is>
          <t>Deaths averted (adjusted)</t>
        </is>
      </c>
      <c r="B16" s="8">
        <f>B12*B13*B14*B15</f>
        <v/>
      </c>
      <c r="C16" s="5" t="inlineStr">
        <is>
          <t>Calculation</t>
        </is>
      </c>
    </row>
    <row r="17">
      <c r="A17" t="inlineStr"/>
      <c r="C17" s="5" t="n"/>
    </row>
    <row r="18">
      <c r="A18" s="1" t="inlineStr">
        <is>
          <t>Benefits</t>
        </is>
      </c>
      <c r="C18" s="5" t="n"/>
    </row>
    <row r="19">
      <c r="A19" t="inlineStr">
        <is>
          <t>Moral weight per death averted (UoV)</t>
        </is>
      </c>
      <c r="B19" t="n">
        <v>95</v>
      </c>
      <c r="C19" s="7" t="inlineStr">
        <is>
          <t>Age-weighted average using GiveWell 2020 moral weights</t>
        </is>
      </c>
    </row>
    <row r="20">
      <c r="A20" t="inlineStr">
        <is>
          <t>UoV from deaths averted</t>
        </is>
      </c>
      <c r="B20" s="8">
        <f>B16*B19</f>
        <v/>
      </c>
      <c r="C20" s="5" t="inlineStr">
        <is>
          <t>Calculation</t>
        </is>
      </c>
    </row>
    <row r="21">
      <c r="A21" t="inlineStr">
        <is>
          <t>Ad-hoc: morbidity uplift (chronic disability in survivors)</t>
        </is>
      </c>
      <c r="B21" s="9" t="n">
        <v>0.1</v>
      </c>
      <c r="C21" s="5" t="inlineStr">
        <is>
          <t>Assumption: 10% uplift for non-fatal benefits</t>
        </is>
      </c>
    </row>
    <row r="22">
      <c r="A22" t="inlineStr">
        <is>
          <t>Total UoV from program</t>
        </is>
      </c>
      <c r="B22" s="8">
        <f>B20*(1+B21)</f>
        <v/>
      </c>
      <c r="C22" s="5" t="inlineStr">
        <is>
          <t>Calculation</t>
        </is>
      </c>
    </row>
    <row r="23">
      <c r="A23" t="inlineStr"/>
      <c r="C23" s="5" t="n"/>
    </row>
    <row r="24">
      <c r="A24" s="1" t="inlineStr">
        <is>
          <t>Final CE</t>
        </is>
      </c>
      <c r="C24" s="5" t="n"/>
    </row>
    <row r="25">
      <c r="A25" t="inlineStr">
        <is>
          <t>Value per dollar spent on benchmark (GiveDirectly)</t>
        </is>
      </c>
      <c r="B25" t="n">
        <v>0.00344</v>
      </c>
      <c r="C25" s="5" t="n"/>
    </row>
    <row r="26">
      <c r="A26" t="inlineStr">
        <is>
          <t>CE (multiples of cash)</t>
        </is>
      </c>
      <c r="B26" s="11">
        <f>B22/B2/B25</f>
        <v/>
      </c>
      <c r="C26" s="5" t="inlineStr">
        <is>
          <t>Calculation</t>
        </is>
      </c>
    </row>
    <row r="27">
      <c r="A27" t="inlineStr">
        <is>
          <t>Cost per death averted (implied)</t>
        </is>
      </c>
      <c r="B27" s="4">
        <f>B2/B16</f>
        <v/>
      </c>
      <c r="C27" s="5" t="inlineStr">
        <is>
          <t>Cross-check</t>
        </is>
      </c>
    </row>
    <row r="28">
      <c r="A28" t="inlineStr"/>
      <c r="C28" s="5" t="n"/>
    </row>
    <row r="29">
      <c r="A29" s="1" t="inlineStr">
        <is>
          <t>Sensitivity</t>
        </is>
      </c>
      <c r="C29" s="5" t="n"/>
    </row>
    <row r="30">
      <c r="A30" t="inlineStr">
        <is>
          <t>CE at $900/treatment (original BOTEC cost)</t>
        </is>
      </c>
      <c r="B30" s="12">
        <f>(B2/(900+B4)*B11*B13*B14*B15*B19*(1+B21))/(B2*B25)</f>
        <v/>
      </c>
      <c r="C30" s="5" t="inlineStr">
        <is>
          <t>Original: $180/vial x 5 vials polyvalent</t>
        </is>
      </c>
    </row>
    <row r="31">
      <c r="A31" t="inlineStr">
        <is>
          <t>CE at $124/treatment (central, West African EchiTAb)</t>
        </is>
      </c>
      <c r="B31" s="12">
        <f>B26</f>
        <v/>
      </c>
      <c r="C31" s="5">
        <f> main BOTEC estimate</f>
        <v/>
      </c>
    </row>
    <row r="32">
      <c r="A32" t="inlineStr">
        <is>
          <t>CE at $50/treatment (Benin-like lower cost)</t>
        </is>
      </c>
      <c r="B32" s="12">
        <f>(B2/(50+B4)*B11*B13*B14*B15*B19*(1+B21))/(B2*B25)</f>
        <v/>
      </c>
      <c r="C32" s="7" t="inlineStr">
        <is>
          <t>Benin: $83/DALY averted (Hamza 2016)</t>
        </is>
      </c>
    </row>
    <row r="33">
      <c r="A33" t="inlineStr">
        <is>
          <t>CE at $20/treatment (varespladib/next-gen, speculative)</t>
        </is>
      </c>
      <c r="B33" s="12">
        <f>(B2/(20+B4)*B11*B13*B14*B15*B19*(1+B21))/(B2*B25)</f>
        <v/>
      </c>
      <c r="C33" s="7" t="inlineStr">
        <is>
          <t>Varespladib ~$10-20/course oral (Ophirex target)</t>
        </is>
      </c>
    </row>
    <row r="34">
      <c r="A34" t="inlineStr">
        <is>
          <t>CE at 50% IV / 50% EV (heavier observational discount)</t>
        </is>
      </c>
      <c r="B34" s="12">
        <f>(B2/B5*B11*0.50*0.50*B15*B19*(1+B21))/(B2*B25)</f>
        <v/>
      </c>
      <c r="C34" s="5" t="inlineStr">
        <is>
          <t>If observational evidence warrants deeper skepticism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19" r:id="rId2"/>
    <hyperlink xmlns:r="http://schemas.openxmlformats.org/officeDocument/2006/relationships" ref="C32" r:id="rId3"/>
    <hyperlink xmlns:r="http://schemas.openxmlformats.org/officeDocument/2006/relationships" ref="C33" r:id="rId4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2026-04-07T23:08:17Z</dcterms:created>
  <dcterms:modified xsi:type="dcterms:W3CDTF">2026-04-07T23:08:17Z</dcterms:modified>
</cp:coreProperties>
</file>