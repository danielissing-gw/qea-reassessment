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%"/>
    <numFmt numFmtId="167" formatCode="#,##0.0"/>
    <numFmt numFmtId="168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3" fillId="0" borderId="0" applyAlignment="1" pivotButton="0" quotePrefix="0" xfId="0">
      <alignment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4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3" authorId="0" shapeId="0">
      <text>
        <t>South Africa NHLS reflexed screening: "$5.897 per result" (PMC 2024). Brazil CrAg-LFA: "$6.00 per test" (PMC 2021). POC in lower-resource settings would add health worker time, consumables, and sample transport: ~$15-20. Using $10 as blended estimate assuming philanthropic program would target countries with some existing lab infrastructure (reflexed model) while also supporting POC in some facilities.</t>
      </text>
    </comment>
    <comment ref="C4" authorId="0" shapeId="0">
      <text>
        <t>Pre-emptive fluconazole: 800mg/day for 2 weeks then 200mg/day for 8 weeks. Generic fluconazole is very cheap (~$0.05-0.10/150mg tablet in LMICs). Full course ~$10-20. Monitoring visits (2-3 over 10 weeks): ~$15. Lumbar puncture for symptomatic patients to confirm/exclude CM: ~$15 (not all CrAg+ patients need LP). Total ~$50/CrAg+ patient.</t>
      </text>
    </comment>
    <comment ref="C5" authorId="0" shapeId="0">
      <text>
        <t>AMBITION regimen: single high-dose liposomal amphotericin B (10 mg/kg) + 14 days flucytosine + fluconazole. Liposomal AmB donated by Gilead (AmBisome Access Program) or procured at ~$100-150 for single dose. Flucytosine ~$20-40 for 14 days. Fluconazole ~$5. Hospitalization reduced from 7+ days to 1-3 days with single-dose regimen. Total ~$150-300, using $200.</t>
      </text>
    </comment>
    <comment ref="C6" authorId="0" shapeId="0">
      <text>
        <t>South Africa national CrAg detection rate: 6.2% at CD4 &lt;100 (NHLS data 2024). Uganda national program: CrAg prevalence 1.4% (Michelow et al. 2019). Rajasingham et al. 2022 global estimates show wide variation by country. Using 5% as midpoint for high-burden SSA countries. This is a key sensitivity parameter.</t>
      </text>
    </comment>
    <comment ref="C7" authorId="0" shapeId="0">
      <text>
        <t>Among CrAg+ patients, approximately 20-30% have confirmed CM on lumbar puncture at the time of screening. The remainder are subclinical/early stage and benefit from pre-emptive fluconazole. Using 25% as estimate.</t>
      </text>
    </comment>
    <comment ref="C13" authorId="0" shapeId="0">
      <text>
        <t>AMBITION trial control arm 10-week mortality: 28.7% — but these patients already had confirmed CM (the sickest subgroup). For CrAg+ patients overall (including subclinical), 1-year mortality without treatment is ~20-40% depending on setting. REMSTART trial control: 11% at 12 weeks among all CD4&lt;200 (not just CrAg+). Using 25% as estimate for CrAg+ specific 1-year mortality without pre-emptive Rx.</t>
      </text>
    </comment>
    <comment ref="C14" authorId="0" shapeId="0">
      <text>
        <t>No RCT of CrAg screening + pre-emptive treatment vs. no screening for mortality. Uganda national program evaluation: 'CrAg screening averts 43% of deaths' among target population (Michelow et al. 2019). Ramachandran et al. 2017 modeling: CrAg screening 'cost-effective in 100% of scenarios.' REMSTART trial HR 0.65 for all-cause mortality with AHD screening package (including CrAg). Using 50% mortality reduction for CrAg+ patients specifically, which is conservative given the 43% figure applies to the entire screened population (mostly CrAg-negative).</t>
      </text>
    </comment>
    <comment ref="C15" authorId="0" shapeId="0">
      <text>
        <t>The mortality reduction is based on modeling (Uganda evaluation), a single trial that was not statistically significant at 95% (REMSTART HR 0.65, 95% CI 0.41-1.03), and observational/programmatic data. The biological mechanism is well-understood (CrAg identifies subclinical CM; pre-emptive fluconazole prevents progression). 80% IV discount reflects the lack of a definitive RCT while acknowledging the strong mechanistic basis.</t>
      </text>
    </comment>
    <comment ref="C16" authorId="0" shapeId="0">
      <text>
        <t>CrAg screening has been implemented in multiple SSA countries with consistent results. CrAg prevalence varies by country (1.4% Uganda to 6.2% South Africa) but the screening mechanism is the same. Treatment protocols are WHO-standardized. 85% EV reflects that a new program would need to establish lab/POC capacity and follow-up systems, which may be less effective than established programs.</t>
      </text>
    </comment>
    <comment ref="C21" authorId="0" shapeId="0">
      <text>
        <t>Median age of CM patients in SSA: 33-36 years (Frontiers in Medicine 2022 systematic review). Age distribution estimate: 5% ages 20-24 (MW 118), 15% ages 25-29 (MW 112.7), 25% ages 30-34 (MW 106.3), 25% ages 35-39 (MW 99.7), 20% ages 40-44 (MW 86.4), 10% ages 45-49 (MW 75.7). Weighted average: 0.05×118 + 0.15×112.7 + 0.25×106.3 + 0.25×99.7 + 0.20×86.4 + 0.10×75.7 = 98.8, rounded to 98.</t>
      </text>
    </comment>
    <comment ref="C23" authorId="0" shapeId="0">
      <text>
        <t>CM survivors often suffer long-term sequelae: hearing loss (~25%), visual impairment (~10%), cognitive deficits, and ongoing need for ART adherence support. Pre-emptive treatment prevents CM entirely in most cases, averting both the acute episode and long-term disability. Uganda evaluation found 20.6 DALYs averted per death prevented, suggesting substantial morbidity component. 15% is a conservative estimate.</t>
      </text>
    </comment>
    <comment ref="C29" authorId="0" shapeId="0">
      <text>
        <t>Michelow et al. 2019: "cost of $459 per life saved" in the Uganda national program. Our estimate will be higher because we include philanthropic delivery costs and IV/EV discounts that the Uganda evaluation did not apply.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mc.ncbi.nlm.nih.gov/articles/PMC11538356/" TargetMode="External" Id="rId1" /><Relationship Type="http://schemas.openxmlformats.org/officeDocument/2006/relationships/hyperlink" Target="https://docs.google.com/spreadsheets/d/1YiZmHQb-JsDIDJF_tKKVte2x5NOL0CGUTndJNoB0iHo/" TargetMode="External" Id="rId2" /><Relationship Type="http://schemas.openxmlformats.org/officeDocument/2006/relationships/hyperlink" Target="https://pmc.ncbi.nlm.nih.gov/articles/PMC11538356/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n"/>
    </row>
    <row r="3">
      <c r="A3" t="inlineStr">
        <is>
          <t>Cost per person screened (CrAg test + delivery)</t>
        </is>
      </c>
      <c r="B3" s="4" t="n">
        <v>10</v>
      </c>
      <c r="C3" s="5" t="inlineStr">
        <is>
          <t>Blended estimate: reflexed lab ($5-7) and POC ($15-20)</t>
        </is>
      </c>
    </row>
    <row r="4">
      <c r="A4" t="inlineStr">
        <is>
          <t>Additional cost per CrAg-positive patient (pre-emptive Rx + monitoring)</t>
        </is>
      </c>
      <c r="B4" s="4" t="n">
        <v>50</v>
      </c>
      <c r="C4" s="5" t="inlineStr">
        <is>
          <t>Pre-emptive fluconazole ($20) + follow-up visits ($15) + LP if symptomatic ($15)</t>
        </is>
      </c>
    </row>
    <row r="5">
      <c r="A5" t="inlineStr">
        <is>
          <t>Additional cost per confirmed CM case (AMBITION regimen + hospitalization)</t>
        </is>
      </c>
      <c r="B5" s="4" t="n">
        <v>200</v>
      </c>
      <c r="C5" s="5" t="inlineStr">
        <is>
          <t>Single-dose liposomal AmB ($100-150) + hospitalization ($50-100)</t>
        </is>
      </c>
    </row>
    <row r="6">
      <c r="A6" t="inlineStr">
        <is>
          <t>CrAg prevalence among CD4 &lt;100 patients</t>
        </is>
      </c>
      <c r="B6" s="6" t="n">
        <v>0.05</v>
      </c>
      <c r="C6" s="7" t="inlineStr">
        <is>
          <t>Midpoint: SA 6.2%, Uganda 1.4%, pooled SSA ~4-6%</t>
        </is>
      </c>
    </row>
    <row r="7">
      <c r="A7" t="inlineStr">
        <is>
          <t>% of CrAg+ with confirmed CM (needing AMBITION treatment)</t>
        </is>
      </c>
      <c r="B7" s="6" t="n">
        <v>0.25</v>
      </c>
      <c r="C7" s="5" t="inlineStr">
        <is>
          <t>~25% of CrAg+ patients have active CM at diagnosis</t>
        </is>
      </c>
    </row>
    <row r="8">
      <c r="A8" t="inlineStr">
        <is>
          <t>Total cost per person screened (blended)</t>
        </is>
      </c>
      <c r="B8" s="8">
        <f>B3+B6*(B4+B7*B5)</f>
        <v/>
      </c>
      <c r="C8" s="5" t="inlineStr">
        <is>
          <t>Calculation: screening cost + CrAg prevalence × (treatment + CM% × CM treatment)</t>
        </is>
      </c>
    </row>
    <row r="9">
      <c r="A9" t="inlineStr">
        <is>
          <t>Number of people screened</t>
        </is>
      </c>
      <c r="B9" s="9">
        <f>B2/B8</f>
        <v/>
      </c>
      <c r="C9" s="5" t="inlineStr">
        <is>
          <t>Calculation</t>
        </is>
      </c>
    </row>
    <row r="10">
      <c r="A10" t="inlineStr">
        <is>
          <t>CrAg-positive patients identified</t>
        </is>
      </c>
      <c r="B10" s="9">
        <f>B9*B6</f>
        <v/>
      </c>
      <c r="C10" s="5" t="inlineStr">
        <is>
          <t>Calculation</t>
        </is>
      </c>
    </row>
    <row r="11">
      <c r="A11" t="inlineStr"/>
      <c r="C11" s="5" t="n"/>
    </row>
    <row r="12">
      <c r="A12" s="1" t="inlineStr">
        <is>
          <t>Burden &amp; effect</t>
        </is>
      </c>
      <c r="C12" s="5" t="n"/>
    </row>
    <row r="13">
      <c r="A13" t="inlineStr">
        <is>
          <t>1-year mortality among CrAg+ without pre-emptive treatment</t>
        </is>
      </c>
      <c r="B13" s="6" t="n">
        <v>0.25</v>
      </c>
      <c r="C13" s="5" t="inlineStr">
        <is>
          <t>Conservative estimate based on multiple sources</t>
        </is>
      </c>
    </row>
    <row r="14">
      <c r="A14" t="inlineStr">
        <is>
          <t>Mortality reduction from pre-emptive fluconazole treatment</t>
        </is>
      </c>
      <c r="B14" s="6" t="n">
        <v>0.5</v>
      </c>
      <c r="C14" s="5" t="inlineStr">
        <is>
          <t>Based on modeling and observational data</t>
        </is>
      </c>
    </row>
    <row r="15">
      <c r="A15" t="inlineStr">
        <is>
          <t>Internal validity adjustment</t>
        </is>
      </c>
      <c r="B15" s="6" t="n">
        <v>0.8</v>
      </c>
      <c r="C15" s="5" t="inlineStr">
        <is>
          <t>No RCT of screening program; REMSTART HR 0.65 was non-significant</t>
        </is>
      </c>
    </row>
    <row r="16">
      <c r="A16" t="inlineStr">
        <is>
          <t>External validity adjustment</t>
        </is>
      </c>
      <c r="B16" s="6" t="n">
        <v>0.85</v>
      </c>
      <c r="C16" s="5" t="inlineStr">
        <is>
          <t>Uganda/SA data extrapolated to other SSA settings</t>
        </is>
      </c>
    </row>
    <row r="17">
      <c r="A17" t="inlineStr">
        <is>
          <t>Adjusted mortality reduction</t>
        </is>
      </c>
      <c r="B17" s="10">
        <f>B14*B15*B16</f>
        <v/>
      </c>
      <c r="C17" s="5" t="inlineStr">
        <is>
          <t>Calculation: mortality reduction × IV × EV</t>
        </is>
      </c>
    </row>
    <row r="18">
      <c r="A18" t="inlineStr">
        <is>
          <t>Deaths averted</t>
        </is>
      </c>
      <c r="B18" s="11">
        <f>B10*B13*B17</f>
        <v/>
      </c>
      <c r="C18" s="5" t="inlineStr">
        <is>
          <t>Calculation: CrAg+ patients × baseline mortality × adjusted reduction</t>
        </is>
      </c>
    </row>
    <row r="19">
      <c r="A19" t="inlineStr"/>
      <c r="C19" s="5" t="n"/>
    </row>
    <row r="20">
      <c r="A20" s="1" t="inlineStr">
        <is>
          <t>Benefits</t>
        </is>
      </c>
      <c r="C20" s="5" t="n"/>
    </row>
    <row r="21">
      <c r="A21" t="inlineStr">
        <is>
          <t>Moral weight per death averted (UoV) — age-weighted</t>
        </is>
      </c>
      <c r="B21" t="n">
        <v>98</v>
      </c>
      <c r="C21" s="7" t="inlineStr">
        <is>
          <t>GiveWell 2020 moral weights, weighted for CM age distribution</t>
        </is>
      </c>
    </row>
    <row r="22">
      <c r="A22" t="inlineStr">
        <is>
          <t>UoV from deaths averted</t>
        </is>
      </c>
      <c r="B22" s="9">
        <f>B18*B21</f>
        <v/>
      </c>
      <c r="C22" s="5" t="inlineStr">
        <is>
          <t>Calculation</t>
        </is>
      </c>
    </row>
    <row r="23">
      <c r="A23" t="inlineStr">
        <is>
          <t>Ad-hoc: morbidity averted (CM-related disability, DALYs from survivors)</t>
        </is>
      </c>
      <c r="B23" s="6" t="n">
        <v>0.15</v>
      </c>
      <c r="C23" s="5" t="inlineStr">
        <is>
          <t>Assumption: 15% uplift for non-fatal benefits</t>
        </is>
      </c>
    </row>
    <row r="24">
      <c r="A24" t="inlineStr">
        <is>
          <t>Total UoV from program</t>
        </is>
      </c>
      <c r="B24" s="9">
        <f>B22*(1+B23)</f>
        <v/>
      </c>
      <c r="C24" s="5" t="inlineStr">
        <is>
          <t>Calculation</t>
        </is>
      </c>
    </row>
    <row r="25">
      <c r="A25" t="inlineStr"/>
      <c r="C25" s="5" t="n"/>
    </row>
    <row r="26">
      <c r="A26" s="1" t="inlineStr">
        <is>
          <t>Final CE</t>
        </is>
      </c>
      <c r="C26" s="5" t="n"/>
    </row>
    <row r="27">
      <c r="A27" t="inlineStr">
        <is>
          <t>Value per dollar spent on benchmark (GiveDirectly)</t>
        </is>
      </c>
      <c r="B27" t="n">
        <v>0.00344</v>
      </c>
      <c r="C27" s="5" t="n"/>
    </row>
    <row r="28">
      <c r="A28" t="inlineStr">
        <is>
          <t>CE (multiples of cash)</t>
        </is>
      </c>
      <c r="B28" s="12">
        <f>B24/B2/B27</f>
        <v/>
      </c>
      <c r="C28" s="5" t="inlineStr">
        <is>
          <t>Calculation</t>
        </is>
      </c>
    </row>
    <row r="29">
      <c r="A29" t="inlineStr">
        <is>
          <t>Cost per death averted (implied)</t>
        </is>
      </c>
      <c r="B29" s="4">
        <f>B2/B18</f>
        <v/>
      </c>
      <c r="C29" s="5" t="inlineStr">
        <is>
          <t>Cross-check: Uganda program found $459/death averted</t>
        </is>
      </c>
    </row>
    <row r="30">
      <c r="A30" t="inlineStr"/>
      <c r="C30" s="5" t="n"/>
    </row>
    <row r="31">
      <c r="A31" s="1" t="inlineStr">
        <is>
          <t>Sensitivity</t>
        </is>
      </c>
      <c r="C31" s="5" t="n"/>
    </row>
    <row r="32">
      <c r="A32" t="inlineStr">
        <is>
          <t>CE at $5/person screened (reflexed lab model)</t>
        </is>
      </c>
      <c r="B32" s="13">
        <f>(B2/(5+B6*(B4+B7*B5))*B6*B13*B14*B15*B16*B21*(1+B23))/(B2*B27)</f>
        <v/>
      </c>
      <c r="C32" s="7" t="inlineStr">
        <is>
          <t>Reflexed screening: marginal cost ~$5/result (SA NHLS data)</t>
        </is>
      </c>
    </row>
    <row r="33">
      <c r="A33" t="inlineStr">
        <is>
          <t>CE at $10/person screened (best guess)</t>
        </is>
      </c>
      <c r="B33" s="13">
        <f>B28</f>
        <v/>
      </c>
      <c r="C33" s="5">
        <f> main BOTEC estimate</f>
        <v/>
      </c>
    </row>
    <row r="34">
      <c r="A34" t="inlineStr">
        <is>
          <t>CE at $20/person screened (new POC program)</t>
        </is>
      </c>
      <c r="B34" s="13">
        <f>(B2/(20+B6*(B4+B7*B5))*B6*B13*B14*B15*B16*B21*(1+B23))/(B2*B27)</f>
        <v/>
      </c>
      <c r="C34" s="5" t="inlineStr">
        <is>
          <t>Point-of-care screening in lower-resource settings</t>
        </is>
      </c>
    </row>
    <row r="35">
      <c r="A35" t="inlineStr">
        <is>
          <t>CE at 2% CrAg prevalence (low-burden setting)</t>
        </is>
      </c>
      <c r="B35" s="13">
        <f>(B2/(B3+0.02*(B4+B7*B5))*0.02*B13*B14*B15*B16*B21*(1+B23))/(B2*B27)</f>
        <v/>
      </c>
      <c r="C35" s="5" t="inlineStr">
        <is>
          <t>E.g., East Africa with better ART coverage</t>
        </is>
      </c>
    </row>
    <row r="36">
      <c r="A36" t="inlineStr">
        <is>
          <t>CE at 8% CrAg prevalence (high-burden setting)</t>
        </is>
      </c>
      <c r="B36" s="13">
        <f>(B2/(B3+0.08*(B4+B7*B5))*0.08*B13*B14*B15*B16*B21*(1+B23))/(B2*B27)</f>
        <v/>
      </c>
      <c r="C36" s="5" t="inlineStr">
        <is>
          <t>E.g., Southern Africa, West/Central Africa</t>
        </is>
      </c>
    </row>
  </sheetData>
  <hyperlinks>
    <hyperlink xmlns:r="http://schemas.openxmlformats.org/officeDocument/2006/relationships" ref="C6" r:id="rId1"/>
    <hyperlink xmlns:r="http://schemas.openxmlformats.org/officeDocument/2006/relationships" ref="C21" r:id="rId2"/>
    <hyperlink xmlns:r="http://schemas.openxmlformats.org/officeDocument/2006/relationships" ref="C32" r:id="rId3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2026-04-06T23:59:24Z</dcterms:created>
  <dcterms:modified xsi:type="dcterms:W3CDTF">2026-04-06T23:59:24Z</dcterms:modified>
</cp:coreProperties>
</file>