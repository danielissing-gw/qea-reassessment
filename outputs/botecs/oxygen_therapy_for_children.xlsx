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TEC" sheetId="1" state="visible" r:id="rId1"/>
  </sheets>
  <definedNames/>
  <calcPr calcId="124519" fullCalcOnLoad="1"/>
</workbook>
</file>

<file path=xl/styles.xml><?xml version="1.0" encoding="utf-8"?>
<styleSheet xmlns="http://schemas.openxmlformats.org/spreadsheetml/2006/main">
  <numFmts count="4">
    <numFmt numFmtId="164" formatCode="$#,##0"/>
    <numFmt numFmtId="165" formatCode="0.0%"/>
    <numFmt numFmtId="166" formatCode="#,##0.0"/>
    <numFmt numFmtId="167" formatCode="0.0"/>
  </numFmts>
  <fonts count="5">
    <font>
      <name val="Calibri"/>
      <family val="2"/>
      <color theme="1"/>
      <sz val="11"/>
      <scheme val="minor"/>
    </font>
    <font>
      <b val="1"/>
      <sz val="11"/>
    </font>
    <font>
      <b val="1"/>
    </font>
    <font>
      <color rgb="000000FF"/>
      <u val="single"/>
    </font>
    <font>
      <b val="1"/>
      <sz val="12"/>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wrapText="1"/>
    </xf>
    <xf numFmtId="164" fontId="0" fillId="0" borderId="0" pivotButton="0" quotePrefix="0" xfId="0"/>
    <xf numFmtId="0" fontId="0" fillId="0" borderId="0" applyAlignment="1" pivotButton="0" quotePrefix="0" xfId="0">
      <alignment wrapText="1"/>
    </xf>
    <xf numFmtId="3" fontId="0" fillId="0" borderId="0" pivotButton="0" quotePrefix="0" xfId="0"/>
    <xf numFmtId="9" fontId="0" fillId="0" borderId="0" pivotButton="0" quotePrefix="0" xfId="0"/>
    <xf numFmtId="0" fontId="3" fillId="0" borderId="0" applyAlignment="1" pivotButton="0" quotePrefix="0" xfId="0">
      <alignment wrapText="1"/>
    </xf>
    <xf numFmtId="2" fontId="0" fillId="0" borderId="0" pivotButton="0" quotePrefix="0" xfId="0"/>
    <xf numFmtId="165" fontId="0" fillId="0" borderId="0" pivotButton="0" quotePrefix="0" xfId="0"/>
    <xf numFmtId="166" fontId="0" fillId="0" borderId="0" pivotButton="0" quotePrefix="0" xfId="0"/>
    <xf numFmtId="167" fontId="4"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BOTEC</author>
  </authors>
  <commentList>
    <comment ref="C3" authorId="0" shapeId="0">
      <text>
        <t>Original BOTEC used $15.12 (CHAI) + $15.12 (government) + $15.12 (additional) = $45.35 total. Using $30 as philanthropic cost (CHAI + additional, excluding government match). Malawi CEA (Lin et al. 2025) implies much lower per-patient costs at scale. This is a key assumption — sensitivity from $15 to $50.</t>
      </text>
    </comment>
    <comment ref="C15" authorId="0" shapeId="0">
      <text>
        <t>Systematic review (Lancet Global Health 2025): patients with hypoxaemia had 4.84x higher odds of death (95% CI 4.11-5.69). At baseline CFR of ~4% for pneumonia, hypoxaemic CFR of 19% is consistent.</t>
      </text>
    </comment>
    <comment ref="C16" authorId="0" shapeId="0">
      <text>
        <t>"After adjustment for clustering and confounding, the relative risk of a fatal outcome was 0·513 (95% CI 0·285–0·915), consistent with a 48·7% (8·5–71·5) reduction in risk of death." Consistent with Lam et al. 2021 systematic review pooled OR 0.52 (95% CI 0.39-0.70) across 4 studies.</t>
      </text>
    </comment>
    <comment ref="C17" authorId="0" shapeId="0">
      <text>
        <t>The Uganda RCT is a stepped-wedge cluster design at 20 facilities. Effect is consistent with Lam et al. 2021 pooled estimate (OR 0.52). Minor discount for single trial, but confidence is higher than in the original assessment which relied only on pre/post evidence.</t>
      </text>
    </comment>
    <comment ref="C18" authorId="0" shapeId="0">
      <text>
        <t>Uganda RCT was in rural facilities using solar-powered oxygen. Effect may differ with grid-powered systems in semi-urban settings. TIMCI trial null finding in primary care underscores context-dependence. Using 80% EV (same as original) reflecting meaningful uncertainty.</t>
      </text>
    </comment>
    <comment ref="C23" authorId="0" shapeId="0">
      <text>
        <t>Uganda RCT: IRR for neonatal deaths was 1.11 (0.76-1.62, NS). Graham et al. 2019 (Nigeria): aOR for neonates 1.12 (0.56-2.26, NS). Duke et al. 2021 (PNG): IRR 1.11 (0.76-1.62, NS). Neonatal hypoxemia may require CPAP or surfactant rather than simple O2.</t>
      </text>
    </comment>
    <comment ref="C37" authorId="0" shapeId="0">
      <text>
        <t>Children who survive hypoxemia may suffer developmental delays, brain damage, and other long-term complications. Oxygen also benefits patients who would not have died but experience morbidity. 10% is a conservative rough estimate for this benefit stream.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google.com/spreadsheets/d/1163LXJ5FhMT3DWjhJb4IKdHnuEOWNnTlIrkYaLv8jJE/" TargetMode="External" Id="rId1" /><Relationship Type="http://schemas.openxmlformats.org/officeDocument/2006/relationships/hyperlink" Target="https://www.thelancet.com/journals/lancet/article/PIIS0140-6736(23)02502-3/abstract"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60" customWidth="1" min="1" max="1"/>
    <col width="18" customWidth="1" min="2" max="2"/>
    <col width="80" customWidth="1" min="3" max="3"/>
  </cols>
  <sheetData>
    <row r="1">
      <c r="A1" s="1" t="inlineStr">
        <is>
          <t>Costs</t>
        </is>
      </c>
      <c r="B1" s="2" t="inlineStr">
        <is>
          <t>Value</t>
        </is>
      </c>
      <c r="C1" s="3" t="inlineStr">
        <is>
          <t>Source / notes</t>
        </is>
      </c>
    </row>
    <row r="2">
      <c r="A2" t="inlineStr">
        <is>
          <t>Grant amount</t>
        </is>
      </c>
      <c r="B2" s="4" t="n">
        <v>1000000</v>
      </c>
      <c r="C2" s="5" t="n"/>
    </row>
    <row r="3">
      <c r="A3" t="inlineStr">
        <is>
          <t>Cost per patient receiving oxygen (philanthropic)</t>
        </is>
      </c>
      <c r="B3" s="4" t="n">
        <v>30</v>
      </c>
      <c r="C3" s="5" t="inlineStr">
        <is>
          <t>Mid-range: CHAI costs ~$15/patient; total with government match ~$45</t>
        </is>
      </c>
    </row>
    <row r="4">
      <c r="A4" t="inlineStr">
        <is>
          <t>Number of patients reached</t>
        </is>
      </c>
      <c r="B4" s="6">
        <f>B2/B3</f>
        <v/>
      </c>
      <c r="C4" s="5" t="inlineStr">
        <is>
          <t>Calculation</t>
        </is>
      </c>
    </row>
    <row r="5">
      <c r="A5" t="inlineStr"/>
      <c r="C5" s="5" t="n"/>
    </row>
    <row r="6">
      <c r="A6" s="1" t="inlineStr">
        <is>
          <t>Patient composition</t>
        </is>
      </c>
      <c r="C6" s="5" t="n"/>
    </row>
    <row r="7">
      <c r="A7" t="inlineStr">
        <is>
          <t>% of patients who are truly hypoxaemic (vs. misuse)</t>
        </is>
      </c>
      <c r="B7" s="7" t="n">
        <v>0.8</v>
      </c>
      <c r="C7" s="5" t="inlineStr">
        <is>
          <t>From original BOTEC (guess to account for misuse)</t>
        </is>
      </c>
    </row>
    <row r="8">
      <c r="A8" t="inlineStr">
        <is>
          <t>% who are children 1mo-5yr (pneumonia, malaria, sepsis)</t>
        </is>
      </c>
      <c r="B8" s="7" t="n">
        <v>0.32</v>
      </c>
      <c r="C8" s="8" t="inlineStr">
        <is>
          <t>From original BOTEC</t>
        </is>
      </c>
    </row>
    <row r="9">
      <c r="A9" t="inlineStr">
        <is>
          <t>% who are neonates (&lt;1 month)</t>
        </is>
      </c>
      <c r="B9" s="7" t="n">
        <v>0.08</v>
      </c>
      <c r="C9" s="5" t="inlineStr">
        <is>
          <t>From original BOTEC</t>
        </is>
      </c>
    </row>
    <row r="10">
      <c r="A10" t="inlineStr">
        <is>
          <t>% who are adults</t>
        </is>
      </c>
      <c r="B10" s="7" t="n">
        <v>0.6</v>
      </c>
      <c r="C10" s="5" t="inlineStr">
        <is>
          <t>From original BOTEC</t>
        </is>
      </c>
    </row>
    <row r="11">
      <c r="A11" t="inlineStr">
        <is>
          <t>Hypoxaemic children receiving oxygen</t>
        </is>
      </c>
      <c r="B11" s="6">
        <f>B4*B7*B8</f>
        <v/>
      </c>
      <c r="C11" s="5" t="inlineStr">
        <is>
          <t>Calculation</t>
        </is>
      </c>
    </row>
    <row r="12">
      <c r="A12" t="inlineStr">
        <is>
          <t>Hypoxaemic adults receiving oxygen</t>
        </is>
      </c>
      <c r="B12" s="6">
        <f>B4*B7*B10</f>
        <v/>
      </c>
      <c r="C12" s="5" t="inlineStr">
        <is>
          <t>Calculation</t>
        </is>
      </c>
    </row>
    <row r="13">
      <c r="A13" t="inlineStr"/>
      <c r="C13" s="5" t="n"/>
    </row>
    <row r="14">
      <c r="A14" s="1" t="inlineStr">
        <is>
          <t>Burden &amp; effect (children with pneumonia)</t>
        </is>
      </c>
      <c r="C14" s="5" t="n"/>
    </row>
    <row r="15">
      <c r="A15" t="inlineStr">
        <is>
          <t>Baseline CFR among hospitalized children with hypoxemia</t>
        </is>
      </c>
      <c r="B15" s="7" t="n">
        <v>0.19</v>
      </c>
      <c r="C15" s="5" t="inlineStr">
        <is>
          <t>From original BOTEC (CHAI Breathing New Life proposal)</t>
        </is>
      </c>
    </row>
    <row r="16">
      <c r="A16" t="inlineStr">
        <is>
          <t>RR of mortality with oxygen (from Uganda RCT)</t>
        </is>
      </c>
      <c r="B16" s="9" t="n">
        <v>0.51</v>
      </c>
      <c r="C16" s="8" t="inlineStr">
        <is>
          <t>Nabwire et al., Lancet 2024 (n=2,405 hypoxaemic children)</t>
        </is>
      </c>
    </row>
    <row r="17">
      <c r="A17" t="inlineStr">
        <is>
          <t>Internal validity adjustment</t>
        </is>
      </c>
      <c r="B17" s="7" t="n">
        <v>0.9</v>
      </c>
      <c r="C17" s="5" t="inlineStr">
        <is>
          <t>Single RCT (n=2,405); consistent with 3 pre/post studies and systematic review</t>
        </is>
      </c>
    </row>
    <row r="18">
      <c r="A18" t="inlineStr">
        <is>
          <t>External validity adjustment</t>
        </is>
      </c>
      <c r="B18" s="7" t="n">
        <v>0.8</v>
      </c>
      <c r="C18" s="5" t="inlineStr">
        <is>
          <t>Extrapolation from Uganda rural facilities to broader LMIC settings</t>
        </is>
      </c>
    </row>
    <row r="19">
      <c r="A19" t="inlineStr">
        <is>
          <t>Adjusted mortality reduction</t>
        </is>
      </c>
      <c r="B19" s="10">
        <f>(1-B16)*B17*B18</f>
        <v/>
      </c>
      <c r="C19" s="5" t="inlineStr">
        <is>
          <t>Calculation: (1-RR) × IV × EV</t>
        </is>
      </c>
    </row>
    <row r="20">
      <c r="A20" t="inlineStr">
        <is>
          <t>Deaths averted (children)</t>
        </is>
      </c>
      <c r="B20" s="11">
        <f>B11*B15*B19</f>
        <v/>
      </c>
      <c r="C20" s="5" t="inlineStr">
        <is>
          <t>Calculation</t>
        </is>
      </c>
    </row>
    <row r="21">
      <c r="A21" t="inlineStr"/>
      <c r="C21" s="5" t="n"/>
    </row>
    <row r="22">
      <c r="A22" s="1" t="inlineStr">
        <is>
          <t>Neonatal mortality (null result — no benefit)</t>
        </is>
      </c>
      <c r="C22" s="5" t="n"/>
    </row>
    <row r="23">
      <c r="A23" t="inlineStr">
        <is>
          <t>Neonatal deaths averted</t>
        </is>
      </c>
      <c r="B23" t="n">
        <v>0</v>
      </c>
      <c r="C23" s="5" t="inlineStr">
        <is>
          <t>RR ~1.02-1.11 (null); no evidence of neonatal benefit from oxygen alone</t>
        </is>
      </c>
    </row>
    <row r="24">
      <c r="A24" t="inlineStr"/>
      <c r="C24" s="5" t="n"/>
    </row>
    <row r="25">
      <c r="A25" s="1" t="inlineStr">
        <is>
          <t>Adult mortality (weak evidence)</t>
        </is>
      </c>
      <c r="C25" s="5" t="n"/>
    </row>
    <row r="26">
      <c r="A26" t="inlineStr">
        <is>
          <t>Baseline CFR among hospitalized adults with hypoxemia</t>
        </is>
      </c>
      <c r="B26" s="7" t="n">
        <v>0.02</v>
      </c>
      <c r="C26" s="5" t="inlineStr">
        <is>
          <t>Guess from original BOTEC (surgery, maternal complications)</t>
        </is>
      </c>
    </row>
    <row r="27">
      <c r="A27" t="inlineStr">
        <is>
          <t>RR for adults with oxygen</t>
        </is>
      </c>
      <c r="B27" s="9" t="n">
        <v>0.9</v>
      </c>
      <c r="C27" s="5" t="inlineStr">
        <is>
          <t>Guess from original BOTEC — no RCT evidence for adults</t>
        </is>
      </c>
    </row>
    <row r="28">
      <c r="A28" t="inlineStr">
        <is>
          <t>IV/EV adjustment (adults)</t>
        </is>
      </c>
      <c r="B28" s="7" t="n">
        <v>0.5</v>
      </c>
      <c r="C28" s="5" t="inlineStr">
        <is>
          <t>Heavy discount: no RCT, guess-based parameters</t>
        </is>
      </c>
    </row>
    <row r="29">
      <c r="A29" t="inlineStr">
        <is>
          <t>Adjusted adult mortality reduction</t>
        </is>
      </c>
      <c r="B29" s="10">
        <f>(1-B27)*B28</f>
        <v/>
      </c>
      <c r="C29" s="5" t="inlineStr">
        <is>
          <t>Calculation</t>
        </is>
      </c>
    </row>
    <row r="30">
      <c r="A30" t="inlineStr">
        <is>
          <t>Deaths averted (adults)</t>
        </is>
      </c>
      <c r="B30" s="11">
        <f>B12*B26*B29</f>
        <v/>
      </c>
      <c r="C30" s="5" t="inlineStr">
        <is>
          <t>Calculation</t>
        </is>
      </c>
    </row>
    <row r="31">
      <c r="A31" t="inlineStr"/>
      <c r="C31" s="5" t="n"/>
    </row>
    <row r="32">
      <c r="A32" s="1" t="inlineStr">
        <is>
          <t>Benefits</t>
        </is>
      </c>
      <c r="C32" s="5" t="n"/>
    </row>
    <row r="33">
      <c r="A33" t="inlineStr">
        <is>
          <t>Moral weight per under-5 death averted (UoV)</t>
        </is>
      </c>
      <c r="B33" t="n">
        <v>52.5</v>
      </c>
      <c r="C33" s="5" t="inlineStr">
        <is>
          <t>GiveWell standard</t>
        </is>
      </c>
    </row>
    <row r="34">
      <c r="A34" t="inlineStr">
        <is>
          <t>Moral weight per adult death averted (UoV)</t>
        </is>
      </c>
      <c r="B34" t="n">
        <v>30</v>
      </c>
      <c r="C34" s="5" t="inlineStr">
        <is>
          <t>Rough estimate; average age ~35-50, mix of surgical/maternal</t>
        </is>
      </c>
    </row>
    <row r="35">
      <c r="A35" t="inlineStr">
        <is>
          <t>UoV from children's deaths averted</t>
        </is>
      </c>
      <c r="B35" s="6">
        <f>B20*B33</f>
        <v/>
      </c>
      <c r="C35" s="5" t="inlineStr">
        <is>
          <t>Calculation</t>
        </is>
      </c>
    </row>
    <row r="36">
      <c r="A36" t="inlineStr">
        <is>
          <t>UoV from adult deaths averted</t>
        </is>
      </c>
      <c r="B36" s="6">
        <f>B30*B34</f>
        <v/>
      </c>
      <c r="C36" s="5" t="inlineStr">
        <is>
          <t>Calculation</t>
        </is>
      </c>
    </row>
    <row r="37">
      <c r="A37" t="inlineStr">
        <is>
          <t>Ad-hoc: morbidity averted (developmental effects, reduced complications)</t>
        </is>
      </c>
      <c r="B37" s="7" t="n">
        <v>0.1</v>
      </c>
      <c r="C37" s="5" t="inlineStr">
        <is>
          <t>Assumption: 10% uplift for non-fatal hypoxemia episodes averted</t>
        </is>
      </c>
    </row>
    <row r="38">
      <c r="A38" t="inlineStr">
        <is>
          <t>Total UoV from program</t>
        </is>
      </c>
      <c r="B38" s="6">
        <f>(B35+B36)*(1+B37)</f>
        <v/>
      </c>
      <c r="C38" s="5" t="inlineStr">
        <is>
          <t>Calculation</t>
        </is>
      </c>
    </row>
    <row r="39">
      <c r="A39" t="inlineStr"/>
      <c r="C39" s="5" t="n"/>
    </row>
    <row r="40">
      <c r="A40" s="1" t="inlineStr">
        <is>
          <t>Final CE</t>
        </is>
      </c>
      <c r="C40" s="5" t="n"/>
    </row>
    <row r="41">
      <c r="A41" t="inlineStr">
        <is>
          <t>Value per dollar spent on benchmark (GiveDirectly)</t>
        </is>
      </c>
      <c r="B41" t="n">
        <v>0.00344</v>
      </c>
      <c r="C41" s="5" t="n"/>
    </row>
    <row r="42">
      <c r="A42" t="inlineStr">
        <is>
          <t>CE (multiples of cash)</t>
        </is>
      </c>
      <c r="B42" s="12">
        <f>B38/B2/B41</f>
        <v/>
      </c>
      <c r="C42" s="5" t="inlineStr">
        <is>
          <t>Calculation</t>
        </is>
      </c>
    </row>
    <row r="43">
      <c r="A43" t="inlineStr"/>
      <c r="C43" s="5" t="n"/>
    </row>
    <row r="44">
      <c r="A44" s="1" t="inlineStr">
        <is>
          <t>Sensitivity (CE at different costs per patient)</t>
        </is>
      </c>
      <c r="C44" s="5" t="n"/>
    </row>
    <row r="45">
      <c r="A45" t="inlineStr">
        <is>
          <t>CE at $15/patient</t>
        </is>
      </c>
      <c r="B45" s="13">
        <f>((B2/15*B7*B8*B15*(1-B16)*B17*B18*B33)+(B2/15*B7*B10*B26*(1-B27)*B28*B34))*(1+B37)/(B2*B41)</f>
        <v/>
      </c>
      <c r="C45" s="5" t="inlineStr">
        <is>
          <t>Scenario: CHAI-only cost, no overhead</t>
        </is>
      </c>
    </row>
    <row r="46">
      <c r="A46" t="inlineStr">
        <is>
          <t>CE at $20/patient</t>
        </is>
      </c>
      <c r="B46" s="13">
        <f>((B2/20*B7*B8*B15*(1-B16)*B17*B18*B33)+(B2/20*B7*B10*B26*(1-B27)*B28*B34))*(1+B37)/(B2*B41)</f>
        <v/>
      </c>
      <c r="C46" s="5" t="inlineStr">
        <is>
          <t>Scenario: lean implementation</t>
        </is>
      </c>
    </row>
    <row r="47">
      <c r="A47" t="inlineStr">
        <is>
          <t>CE at $30/patient (best guess)</t>
        </is>
      </c>
      <c r="B47" s="13">
        <f>B42</f>
        <v/>
      </c>
      <c r="C47" s="5">
        <f> main BOTEC estimate</f>
        <v/>
      </c>
    </row>
    <row r="48">
      <c r="A48" t="inlineStr">
        <is>
          <t>CE at $50/patient</t>
        </is>
      </c>
      <c r="B48" s="13">
        <f>((B2/50*B7*B8*B15*(1-B16)*B17*B18*B33)+(B2/50*B7*B10*B26*(1-B27)*B28*B34))*(1+B37)/(B2*B41)</f>
        <v/>
      </c>
      <c r="C48" s="5" t="inlineStr">
        <is>
          <t>Scenario: high-cost rural solar-powered systems</t>
        </is>
      </c>
    </row>
  </sheetData>
  <hyperlinks>
    <hyperlink xmlns:r="http://schemas.openxmlformats.org/officeDocument/2006/relationships" ref="C8" r:id="rId1"/>
    <hyperlink xmlns:r="http://schemas.openxmlformats.org/officeDocument/2006/relationships" ref="C16" r:id="rId2"/>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2026-03-19T02:23:28Z</dcterms:created>
  <dcterms:modified xsi:type="dcterms:W3CDTF">2026-03-19T02:23:28Z</dcterms:modified>
</cp:coreProperties>
</file>