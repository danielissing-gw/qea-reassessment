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T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#,##0.0"/>
    <numFmt numFmtId="167" formatCode="0.0"/>
  </numFmts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color rgb="000000FF"/>
      <u val="single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3" fontId="0" fillId="0" borderId="0" pivotButton="0" quotePrefix="0" xfId="0"/>
    <xf numFmtId="0" fontId="3" fillId="0" borderId="0" applyAlignment="1" pivotButton="0" quotePrefix="0" xfId="0">
      <alignment wrapText="1"/>
    </xf>
    <xf numFmtId="165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BOTEC</author>
  </authors>
  <commentList>
    <comment ref="C3" authorId="0" shapeId="0">
      <text>
        <t>Field kit costs: $0.17/test bulk UNICEF price, $0.60/test retail. Full informational intervention: &lt;$10/household (Barnwal et al. 2023). Van Geen: $0.90/person whose exposure was reduced (~$10/well). $5/well is a mid-range assumption between bare-minimum testing and a comprehensive education program. Key assumption.</t>
      </text>
    </comment>
    <comment ref="C14" authorId="0" shapeId="0">
      <text>
        <t>Araihazar (with placards/counseling): 60% within 1 year. Singair cluster RCT: 53%. Barnwal 2023 informational intervention: 37%. BAMWSP national program (without sustained follow-up): 29%. 45% is a conservative central estimate given education is included in the program.</t>
      </text>
    </comment>
    <comment ref="C18" authorId="0" shapeId="0">
      <text>
        <t>"Multivariate adjusted hazard ratios for all-cause mortality comparing arsenic at concentrations of [...] 50.1-150.0 ug/L [...] with a reference of at least 10.0 ug/L in well water were [...] 1.09 (0.81-1.47)." Note: 95% CI crosses 1.0 — this HR is not statistically significant.</t>
      </text>
    </comment>
    <comment ref="C19" authorId="0" shapeId="0">
      <text>
        <t>"Multivariate adjusted hazard ratios [...] 150.1-864.0 ug/L [...] 1.68 (1.26-2.23)." Statistically significant.</t>
      </text>
    </comment>
    <comment ref="C20" authorId="0" shapeId="0">
      <text>
        <t>HEALS is a high-quality prospective cohort (20-year follow-up, 10,977 adults, 1,401 chronic disease deaths). The 2025 JAMA paper strengthens the causal case by showing dose-response and temporal consistency. But confounding cannot be fully excluded — healthier/wealthier people may be more likely to switch wells. 70% IV reflects strong-but-not-experimental evidence.</t>
      </text>
    </comment>
    <comment ref="C29" authorId="0" shapeId="0">
      <text>
        <t>"For every 200 ug/gram creatinine decrease in urinary arsenic levels: 22% reduced chronic disease mortality, 20% reduced cancer mortality, 23% reduced heart disease mortality." Using 22% as a conservative estimate; high-to-low switchers saw 54% reduction.</t>
      </text>
    </comment>
    <comment ref="C37" authorId="0" shapeId="0">
      <text>
        <t>"Arsenic in groundwater (&gt;=50 ug/L) associated with [...] infant mortality OR = 1.35." From original BOTEC.</t>
      </text>
    </comment>
    <comment ref="C42" authorId="0" shapeId="0">
      <text>
        <t>Original BOTEC used 106 UoV (labeled 'guess'). GW standard for adult deaths is typically 30-50 UoV depending on age. Using 50 as these are relatively young adults (15-49) dying prematurely.</t>
      </text>
    </comment>
    <comment ref="C43" authorId="0" shapeId="0">
      <text>
        <t>Adults dying of chronic disease at 50-70 have shorter remaining life expectancy. GW typically values these deaths at 15-30 UoV. Using 20.</t>
      </text>
    </comment>
    <comment ref="C48" authorId="0" shapeId="0">
      <text>
        <t>Pfaff et al. 2017: switching from 2003-2005 was 'highly persistent' through 2015. New switching continued to occur years after testing. However, 22% of households forgot results by year 8, and new untested wells may be installed. 8 years is a moderate estimate.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ATbZ61dmczX3GB3Mo-nwITfsMcTikpGmlzG-D83xu5Y/" TargetMode="External" Id="rId1" /><Relationship Type="http://schemas.openxmlformats.org/officeDocument/2006/relationships/hyperlink" Target="https://docs.google.com/spreadsheets/d/1ATbZ61dmczX3GB3Mo-nwITfsMcTikpGmlzG-D83xu5Y/" TargetMode="External" Id="rId2" /><Relationship Type="http://schemas.openxmlformats.org/officeDocument/2006/relationships/hyperlink" Target="https://docs.google.com/spreadsheets/d/1ATbZ61dmczX3GB3Mo-nwITfsMcTikpGmlzG-D83xu5Y/" TargetMode="External" Id="rId3" /><Relationship Type="http://schemas.openxmlformats.org/officeDocument/2006/relationships/hyperlink" Target="https://pubmed.ncbi.nlm.nih.gov/20646756/" TargetMode="External" Id="rId4" /><Relationship Type="http://schemas.openxmlformats.org/officeDocument/2006/relationships/hyperlink" Target="https://pubmed.ncbi.nlm.nih.gov/20646756/" TargetMode="External" Id="rId5" /><Relationship Type="http://schemas.openxmlformats.org/officeDocument/2006/relationships/hyperlink" Target="https://www.nih.gov/news-events/nih-research-matters/arsenic-reduction-linked-lower-risk-death" TargetMode="External" Id="rId6" /><Relationship Type="http://schemas.openxmlformats.org/officeDocument/2006/relationships/hyperlink" Target="https://data.worldbank.org/indicator/SP.DYN.CBRT.IN?locations=BD" TargetMode="External" Id="rId7" /><Relationship Type="http://schemas.openxmlformats.org/officeDocument/2006/relationships/hyperlink" Target="https://pmc.ncbi.nlm.nih.gov/articles/PMC4421764/" TargetMode="External" Id="rId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65" customWidth="1" min="1" max="1"/>
    <col width="18" customWidth="1" min="2" max="2"/>
    <col width="80" customWidth="1" min="3" max="3"/>
  </cols>
  <sheetData>
    <row r="1">
      <c r="A1" s="1" t="inlineStr">
        <is>
          <t>Costs</t>
        </is>
      </c>
      <c r="B1" s="2" t="inlineStr">
        <is>
          <t>Value</t>
        </is>
      </c>
      <c r="C1" s="3" t="inlineStr">
        <is>
          <t>Source / notes</t>
        </is>
      </c>
    </row>
    <row r="2">
      <c r="A2" t="inlineStr">
        <is>
          <t>Grant amount</t>
        </is>
      </c>
      <c r="B2" s="4" t="n">
        <v>1000000</v>
      </c>
      <c r="C2" s="5" t="n"/>
    </row>
    <row r="3">
      <c r="A3" t="inlineStr">
        <is>
          <t>Cost per well tested (all-in: kit + labor + education + placard)</t>
        </is>
      </c>
      <c r="B3" s="4" t="n">
        <v>5</v>
      </c>
      <c r="C3" s="5" t="inlineStr">
        <is>
          <t>Assumption: field kit $0.17-1.00 + labor/logistics/education ~$4-5</t>
        </is>
      </c>
    </row>
    <row r="4">
      <c r="A4" t="inlineStr">
        <is>
          <t>Wells tested</t>
        </is>
      </c>
      <c r="B4" s="6">
        <f>B2/B3</f>
        <v/>
      </c>
      <c r="C4" s="5" t="inlineStr">
        <is>
          <t>Calculation</t>
        </is>
      </c>
    </row>
    <row r="5">
      <c r="A5" t="inlineStr">
        <is>
          <t>People per well</t>
        </is>
      </c>
      <c r="B5" t="n">
        <v>11</v>
      </c>
      <c r="C5" s="7" t="inlineStr">
        <is>
          <t>From original BOTEC</t>
        </is>
      </c>
    </row>
    <row r="6">
      <c r="A6" t="inlineStr">
        <is>
          <t>Total people covered by testing</t>
        </is>
      </c>
      <c r="B6" s="6">
        <f>B4*B5</f>
        <v/>
      </c>
      <c r="C6" s="5" t="inlineStr">
        <is>
          <t>Calculation</t>
        </is>
      </c>
    </row>
    <row r="7">
      <c r="A7" t="inlineStr"/>
      <c r="C7" s="5" t="n"/>
    </row>
    <row r="8">
      <c r="A8" s="1" t="inlineStr">
        <is>
          <t>Contamination &amp; behavioral response</t>
        </is>
      </c>
      <c r="C8" s="5" t="n"/>
    </row>
    <row r="9">
      <c r="A9" t="inlineStr">
        <is>
          <t>% of wells with As 50-150 ug/L</t>
        </is>
      </c>
      <c r="B9" s="8" t="n">
        <v>0.08599999999999999</v>
      </c>
      <c r="C9" s="7" t="inlineStr">
        <is>
          <t>From original BOTEC (Bangladesh distribution)</t>
        </is>
      </c>
    </row>
    <row r="10">
      <c r="A10" t="inlineStr">
        <is>
          <t>% of wells with As 150+ ug/L</t>
        </is>
      </c>
      <c r="B10" s="8" t="n">
        <v>0.048</v>
      </c>
      <c r="C10" s="5" t="inlineStr">
        <is>
          <t>From original BOTEC</t>
        </is>
      </c>
    </row>
    <row r="11">
      <c r="A11" t="inlineStr">
        <is>
          <t>People exposed at 50-150 ug/L</t>
        </is>
      </c>
      <c r="B11" s="6">
        <f>B6*B9</f>
        <v/>
      </c>
      <c r="C11" s="5" t="inlineStr">
        <is>
          <t>Calculation</t>
        </is>
      </c>
    </row>
    <row r="12">
      <c r="A12" t="inlineStr">
        <is>
          <t>People exposed at 150+ ug/L</t>
        </is>
      </c>
      <c r="B12" s="6">
        <f>B6*B10</f>
        <v/>
      </c>
      <c r="C12" s="5" t="inlineStr">
        <is>
          <t>Calculation</t>
        </is>
      </c>
    </row>
    <row r="13">
      <c r="A13" t="inlineStr">
        <is>
          <t>Total people at high-exposure wells</t>
        </is>
      </c>
      <c r="B13" s="6">
        <f>B11+B12</f>
        <v/>
      </c>
      <c r="C13" s="5" t="inlineStr">
        <is>
          <t>Calculation</t>
        </is>
      </c>
    </row>
    <row r="14">
      <c r="A14" t="inlineStr">
        <is>
          <t>% of high-exposure population induced to switch to safe well</t>
        </is>
      </c>
      <c r="B14" s="9" t="n">
        <v>0.45</v>
      </c>
      <c r="C14" s="5" t="inlineStr">
        <is>
          <t>Updated from 35% — multiple studies find 37-60%</t>
        </is>
      </c>
    </row>
    <row r="15">
      <c r="A15" t="inlineStr"/>
      <c r="C15" s="5" t="n"/>
    </row>
    <row r="16">
      <c r="A16" s="1" t="inlineStr">
        <is>
          <t>Adult mortality (ages 15-49)</t>
        </is>
      </c>
      <c r="C16" s="5" t="n"/>
    </row>
    <row r="17">
      <c r="A17" t="inlineStr">
        <is>
          <t>Annual mortality rate, ages 15-49 (Bangladesh)</t>
        </is>
      </c>
      <c r="B17" s="10" t="n">
        <v>0.0013</v>
      </c>
      <c r="C17" s="7" t="inlineStr">
        <is>
          <t>From original BOTEC (Bangladesh vital statistics)</t>
        </is>
      </c>
    </row>
    <row r="18">
      <c r="A18" t="inlineStr">
        <is>
          <t>HR for As 50-150 ug/L (vs. &lt;10 ug/L)</t>
        </is>
      </c>
      <c r="B18" s="11" t="n">
        <v>1.09</v>
      </c>
      <c r="C18" s="7" t="inlineStr">
        <is>
          <t>HEALS cohort (Argos et al., Lancet 2010)</t>
        </is>
      </c>
    </row>
    <row r="19">
      <c r="A19" t="inlineStr">
        <is>
          <t>HR for As 150+ ug/L (vs. &lt;10 ug/L)</t>
        </is>
      </c>
      <c r="B19" s="11" t="n">
        <v>1.68</v>
      </c>
      <c r="C19" s="7" t="inlineStr">
        <is>
          <t>HEALS cohort (Argos et al., Lancet 2010)</t>
        </is>
      </c>
    </row>
    <row r="20">
      <c r="A20" t="inlineStr">
        <is>
          <t>IV adjustment (observational evidence only)</t>
        </is>
      </c>
      <c r="B20" s="9" t="n">
        <v>0.7</v>
      </c>
      <c r="C20" s="5" t="inlineStr">
        <is>
          <t>No RCT on mortality; HEALS is strong observational (20yr, n=10,977)</t>
        </is>
      </c>
    </row>
    <row r="21">
      <c r="A21" t="inlineStr">
        <is>
          <t>Annual adult (15-49) deaths averted from switching (50-150 group)</t>
        </is>
      </c>
      <c r="B21" s="12">
        <f>B11*B14*B17*(B18-1)*B20</f>
        <v/>
      </c>
      <c r="C21" s="5">
        <f> N_exposed × switch_rate × mortality × (HR-1) × IV</f>
        <v/>
      </c>
    </row>
    <row r="22">
      <c r="A22" t="inlineStr">
        <is>
          <t>Annual adult (15-49) deaths averted from switching (150+ group)</t>
        </is>
      </c>
      <c r="B22" s="12">
        <f>B12*B14*B17*(B19-1)*B20</f>
        <v/>
      </c>
      <c r="C22" s="5" t="inlineStr">
        <is>
          <t>Calculation</t>
        </is>
      </c>
    </row>
    <row r="23">
      <c r="A23" t="inlineStr">
        <is>
          <t>Total annual adult (15-49) deaths averted</t>
        </is>
      </c>
      <c r="B23" s="12">
        <f>B21+B22</f>
        <v/>
      </c>
      <c r="C23" s="5" t="inlineStr">
        <is>
          <t>Calculation</t>
        </is>
      </c>
    </row>
    <row r="24">
      <c r="A24" t="inlineStr"/>
      <c r="C24" s="5" t="n"/>
    </row>
    <row r="25">
      <c r="A25" s="1" t="inlineStr">
        <is>
          <t>Adult chronic disease mortality (ages 50+) — new benefit stream</t>
        </is>
      </c>
      <c r="C25" s="5" t="n"/>
    </row>
    <row r="26">
      <c r="A26" t="inlineStr">
        <is>
          <t>% of exposed population aged 50+</t>
        </is>
      </c>
      <c r="B26" s="9" t="n">
        <v>0.15</v>
      </c>
      <c r="C26" s="5" t="inlineStr">
        <is>
          <t>Assumption: ~15% of Bangladesh population is 50+</t>
        </is>
      </c>
    </row>
    <row r="27">
      <c r="A27" t="inlineStr">
        <is>
          <t>People aged 50+ at high-exposure wells</t>
        </is>
      </c>
      <c r="B27" s="6">
        <f>B13*B26</f>
        <v/>
      </c>
      <c r="C27" s="5" t="inlineStr">
        <is>
          <t>Calculation</t>
        </is>
      </c>
    </row>
    <row r="28">
      <c r="A28" t="inlineStr">
        <is>
          <t>Annual chronic disease mortality rate (ages 50+, Bangladesh)</t>
        </is>
      </c>
      <c r="B28" s="8" t="n">
        <v>0.012</v>
      </c>
      <c r="C28" s="5" t="inlineStr">
        <is>
          <t>Assumption: ~1.2% (60% of ~2% all-cause mortality is chronic disease)</t>
        </is>
      </c>
    </row>
    <row r="29">
      <c r="A29" t="inlineStr">
        <is>
          <t>Reduction in chronic disease mortality from switching (from HEALS 2025)</t>
        </is>
      </c>
      <c r="B29" s="9" t="n">
        <v>0.22</v>
      </c>
      <c r="C29" s="7" t="inlineStr">
        <is>
          <t>HEALS 20-year follow-up (JAMA 2025)</t>
        </is>
      </c>
    </row>
    <row r="30">
      <c r="A30" t="inlineStr">
        <is>
          <t>IV adjustment (same as above)</t>
        </is>
      </c>
      <c r="B30" s="9" t="n">
        <v>0.7</v>
      </c>
      <c r="C30" s="5" t="inlineStr">
        <is>
          <t>Same 70% observational evidence discount</t>
        </is>
      </c>
    </row>
    <row r="31">
      <c r="A31" t="inlineStr">
        <is>
          <t>Annual deaths averted (50+ chronic disease)</t>
        </is>
      </c>
      <c r="B31" s="12">
        <f>B27*B14*B28*B29*B30</f>
        <v/>
      </c>
      <c r="C31" s="5">
        <f> N_50+ × switch_rate × mortality × reduction × IV</f>
        <v/>
      </c>
    </row>
    <row r="32">
      <c r="A32" t="inlineStr"/>
      <c r="C32" s="5" t="n"/>
    </row>
    <row r="33">
      <c r="A33" s="1" t="inlineStr">
        <is>
          <t>Infant mortality</t>
        </is>
      </c>
      <c r="C33" s="5" t="n"/>
    </row>
    <row r="34">
      <c r="A34" t="inlineStr">
        <is>
          <t>Birth rate per 1,000 people (Bangladesh, annual)</t>
        </is>
      </c>
      <c r="B34" t="n">
        <v>18.2</v>
      </c>
      <c r="C34" s="7" t="inlineStr">
        <is>
          <t>World Bank</t>
        </is>
      </c>
    </row>
    <row r="35">
      <c r="A35" t="inlineStr">
        <is>
          <t>Births among high-exposure population (annual)</t>
        </is>
      </c>
      <c r="B35" s="6">
        <f>B13*B34/1000</f>
        <v/>
      </c>
      <c r="C35" s="5" t="inlineStr">
        <is>
          <t>Calculation</t>
        </is>
      </c>
    </row>
    <row r="36">
      <c r="A36" t="inlineStr">
        <is>
          <t>Infant mortality rate (Bangladesh)</t>
        </is>
      </c>
      <c r="B36" s="10" t="n">
        <v>0.0256</v>
      </c>
      <c r="C36" s="5" t="inlineStr">
        <is>
          <t>From original BOTEC (World Bank 2019)</t>
        </is>
      </c>
    </row>
    <row r="37">
      <c r="A37" t="inlineStr">
        <is>
          <t>OR for infant mortality with arsenic exposure (&gt;=50 ug/L)</t>
        </is>
      </c>
      <c r="B37" t="n">
        <v>1.35</v>
      </c>
      <c r="C37" s="7" t="inlineStr">
        <is>
          <t>Meta-analysis (Rahman et al.)</t>
        </is>
      </c>
    </row>
    <row r="38">
      <c r="A38" t="inlineStr">
        <is>
          <t>IV adjustment for infant mortality (observational)</t>
        </is>
      </c>
      <c r="B38" s="9" t="n">
        <v>0.7</v>
      </c>
      <c r="C38" s="5" t="inlineStr">
        <is>
          <t>Same 70% discount as adult mortality</t>
        </is>
      </c>
    </row>
    <row r="39">
      <c r="A39" t="inlineStr">
        <is>
          <t>Annual infant deaths averted from switching</t>
        </is>
      </c>
      <c r="B39" s="12">
        <f>B35*B14*B36*(B37-1)*B38</f>
        <v/>
      </c>
      <c r="C39" s="5">
        <f> births × switch_rate × IMR × (OR-1) × IV</f>
        <v/>
      </c>
    </row>
    <row r="40">
      <c r="A40" t="inlineStr"/>
      <c r="C40" s="5" t="n"/>
    </row>
    <row r="41">
      <c r="A41" s="1" t="inlineStr">
        <is>
          <t>Benefits</t>
        </is>
      </c>
      <c r="C41" s="5" t="n"/>
    </row>
    <row r="42">
      <c r="A42" t="inlineStr">
        <is>
          <t>Moral weight per adult (15-49) death averted (UoV)</t>
        </is>
      </c>
      <c r="B42" t="n">
        <v>50</v>
      </c>
      <c r="C42" s="5" t="inlineStr">
        <is>
          <t>Adults dying at age ~30-50; remaining LE ~25-40 years</t>
        </is>
      </c>
    </row>
    <row r="43">
      <c r="A43" t="inlineStr">
        <is>
          <t>Moral weight per adult (50+) death averted (UoV)</t>
        </is>
      </c>
      <c r="B43" t="n">
        <v>20</v>
      </c>
      <c r="C43" s="5" t="inlineStr">
        <is>
          <t>Older adults; remaining LE ~10-20 years</t>
        </is>
      </c>
    </row>
    <row r="44">
      <c r="A44" t="inlineStr">
        <is>
          <t>Moral weight per infant death averted (UoV)</t>
        </is>
      </c>
      <c r="B44" t="n">
        <v>52.5</v>
      </c>
      <c r="C44" s="5" t="inlineStr">
        <is>
          <t>GiveWell standard for under-5 deaths</t>
        </is>
      </c>
    </row>
    <row r="45">
      <c r="A45" t="inlineStr">
        <is>
          <t>Annual UoV from adult (15-49) deaths averted</t>
        </is>
      </c>
      <c r="B45" s="6">
        <f>B23*B42</f>
        <v/>
      </c>
      <c r="C45" s="5" t="inlineStr">
        <is>
          <t>Calculation</t>
        </is>
      </c>
    </row>
    <row r="46">
      <c r="A46" t="inlineStr">
        <is>
          <t>Annual UoV from adult (50+) deaths averted</t>
        </is>
      </c>
      <c r="B46" s="6">
        <f>B31*B43</f>
        <v/>
      </c>
      <c r="C46" s="5" t="inlineStr">
        <is>
          <t>Calculation</t>
        </is>
      </c>
    </row>
    <row r="47">
      <c r="A47" t="inlineStr">
        <is>
          <t>Annual UoV from infant deaths averted</t>
        </is>
      </c>
      <c r="B47" s="6">
        <f>B39*B44</f>
        <v/>
      </c>
      <c r="C47" s="5" t="inlineStr">
        <is>
          <t>Calculation</t>
        </is>
      </c>
    </row>
    <row r="48">
      <c r="A48" t="inlineStr">
        <is>
          <t>Duration of benefits (years)</t>
        </is>
      </c>
      <c r="B48" t="n">
        <v>8</v>
      </c>
      <c r="C48" s="5" t="inlineStr">
        <is>
          <t>Updated from 5 — Araihazar data shows persistent switching over 8-15 years</t>
        </is>
      </c>
    </row>
    <row r="49">
      <c r="A49" t="inlineStr">
        <is>
          <t>Total lifetime UoV from program</t>
        </is>
      </c>
      <c r="B49" s="6">
        <f>(B45+B46+B47)*B48</f>
        <v/>
      </c>
      <c r="C49" s="5" t="inlineStr">
        <is>
          <t>Calculation</t>
        </is>
      </c>
    </row>
    <row r="50">
      <c r="A50" t="inlineStr"/>
      <c r="C50" s="5" t="n"/>
    </row>
    <row r="51">
      <c r="A51" s="1" t="inlineStr">
        <is>
          <t>Final CE</t>
        </is>
      </c>
      <c r="C51" s="5" t="n"/>
    </row>
    <row r="52">
      <c r="A52" t="inlineStr">
        <is>
          <t>Value per dollar spent on benchmark (GiveDirectly)</t>
        </is>
      </c>
      <c r="B52" t="n">
        <v>0.00344</v>
      </c>
      <c r="C52" s="5" t="n"/>
    </row>
    <row r="53">
      <c r="A53" t="inlineStr">
        <is>
          <t>CE (multiples of cash)</t>
        </is>
      </c>
      <c r="B53" s="13">
        <f>B49/B2/B52</f>
        <v/>
      </c>
      <c r="C53" s="5" t="inlineStr">
        <is>
          <t>Calculation</t>
        </is>
      </c>
    </row>
    <row r="54">
      <c r="A54" t="inlineStr"/>
      <c r="C54" s="5" t="n"/>
    </row>
    <row r="55">
      <c r="A55" s="1" t="inlineStr">
        <is>
          <t>Sensitivity</t>
        </is>
      </c>
      <c r="C55" s="5" t="n"/>
    </row>
    <row r="56">
      <c r="A56" t="inlineStr">
        <is>
          <t>CE at $3/well (bare-minimum testing)</t>
        </is>
      </c>
      <c r="B56" s="14">
        <f>B53*B3/3</f>
        <v/>
      </c>
      <c r="C56" s="5" t="inlineStr">
        <is>
          <t>Scenario: kit cost + minimal labor only</t>
        </is>
      </c>
    </row>
    <row r="57">
      <c r="A57" t="inlineStr">
        <is>
          <t>CE at $5/well (best guess)</t>
        </is>
      </c>
      <c r="B57" s="14">
        <f>B53</f>
        <v/>
      </c>
      <c r="C57" s="5">
        <f> main BOTEC estimate</f>
        <v/>
      </c>
    </row>
    <row r="58">
      <c r="A58" t="inlineStr">
        <is>
          <t>CE at $10/well (full education program)</t>
        </is>
      </c>
      <c r="B58" s="14">
        <f>B53*B3/10</f>
        <v/>
      </c>
      <c r="C58" s="5" t="inlineStr">
        <is>
          <t>Scenario: comprehensive intervention per Barnwal et al.</t>
        </is>
      </c>
    </row>
    <row r="59">
      <c r="A59" t="inlineStr">
        <is>
          <t>CE at $10/well, IV 50% (pessimistic)</t>
        </is>
      </c>
      <c r="B59" s="14">
        <f>B53*B3/10*0.5/B20</f>
        <v/>
      </c>
      <c r="C59" s="5" t="inlineStr">
        <is>
          <t>Scenario: higher cost + heavier observational discount</t>
        </is>
      </c>
    </row>
  </sheetData>
  <hyperlinks>
    <hyperlink xmlns:r="http://schemas.openxmlformats.org/officeDocument/2006/relationships" ref="C5" r:id="rId1"/>
    <hyperlink xmlns:r="http://schemas.openxmlformats.org/officeDocument/2006/relationships" ref="C9" r:id="rId2"/>
    <hyperlink xmlns:r="http://schemas.openxmlformats.org/officeDocument/2006/relationships" ref="C17" r:id="rId3"/>
    <hyperlink xmlns:r="http://schemas.openxmlformats.org/officeDocument/2006/relationships" ref="C18" r:id="rId4"/>
    <hyperlink xmlns:r="http://schemas.openxmlformats.org/officeDocument/2006/relationships" ref="C19" r:id="rId5"/>
    <hyperlink xmlns:r="http://schemas.openxmlformats.org/officeDocument/2006/relationships" ref="C29" r:id="rId6"/>
    <hyperlink xmlns:r="http://schemas.openxmlformats.org/officeDocument/2006/relationships" ref="C34" r:id="rId7"/>
    <hyperlink xmlns:r="http://schemas.openxmlformats.org/officeDocument/2006/relationships" ref="C37" r:id="rId8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2026-03-19T02:23:38Z</dcterms:created>
  <dcterms:modified xsi:type="dcterms:W3CDTF">2026-03-19T02:23:38Z</dcterms:modified>
</cp:coreProperties>
</file>