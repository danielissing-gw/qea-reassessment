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$#,##0"/>
    <numFmt numFmtId="167" formatCode="$#,##0.00"/>
    <numFmt numFmtId="168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9" fontId="0" fillId="0" borderId="0" pivotButton="0" quotePrefix="0" xfId="0"/>
    <xf numFmtId="0" fontId="3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2" authorId="0" shapeId="0">
      <text>
        <t>Original paper abstract: "a decline in RHD prevalence from 2.27 patients per 1 000 children in 1986 to 0.24 per 1 000 in 1996" — implies ~89% reduction over 10 years, assuming decline is fully attributable to the intervention.
Source: cited in original QEA.</t>
      </text>
    </comment>
    <comment ref="C6" authorId="0" shapeId="0">
      <text>
        <t>AHA Circulation 2023 abstract reports India had an estimated 166,017 RHD deaths in 2021 using GBD 2021 data. I could not verify this against the raw GBD database — medium confidence.
https://www.ahajournals.org/doi/10.1161/circ.150.suppl_1.4144731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siZVFAA3E3SLWroQ_oQqTuxUBMfEYvM_z8tL6eOp2Y8/edit" TargetMode="External" Id="rId1" /><Relationship Type="http://schemas.openxmlformats.org/officeDocument/2006/relationships/hyperlink" Target="https://docs.google.com/document/d/1siZVFAA3E3SLWroQ_oQqTuxUBMfEYvM_z8tL6eOp2Y8/edit" TargetMode="External" Id="rId2" /><Relationship Type="http://schemas.openxmlformats.org/officeDocument/2006/relationships/hyperlink" Target="https://www.ahajournals.org/doi/10.1161/circ.150.suppl_1.4144731" TargetMode="External" Id="rId3" /><Relationship Type="http://schemas.openxmlformats.org/officeDocument/2006/relationships/hyperlink" Target="https://docs.google.com/spreadsheets/d/1FVr6y-dke7kJUIDbEt5Bqah4zPsc7gaBEqFki08DKaA/edit" TargetMode="External" Id="rId4" /><Relationship Type="http://schemas.openxmlformats.org/officeDocument/2006/relationships/hyperlink" Target="https://docs.google.com/document/d/1siZVFAA3E3SLWroQ_oQqTuxUBMfEYvM_z8tL6eOp2Y8/edit" TargetMode="External" Id="rId5" /><Relationship Type="http://schemas.openxmlformats.org/officeDocument/2006/relationships/hyperlink" Target="https://www.bls.gov/data/inflation_calculator.htm" TargetMode="External" Id="rId6" /><Relationship Type="http://schemas.openxmlformats.org/officeDocument/2006/relationships/hyperlink" Target="https://docs.google.com/spreadsheets/d/1FVr6y-dke7kJUIDbEt5Bqah4zPsc7gaBEqFki08DKaA/edit" TargetMode="External" Id="rId7" /><Relationship Type="http://schemas.openxmlformats.org/officeDocument/2006/relationships/hyperlink" Target="https://docs.google.com/spreadsheets/d/1FVr6y-dke7kJUIDbEt5Bqah4zPsc7gaBEqFki08DKaA/edit" TargetMode="Externa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Mortality benefit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Effect size: % reduction in RHD risk with prevention program</t>
        </is>
      </c>
      <c r="B2" s="4" t="n">
        <v>0.89</v>
      </c>
      <c r="C2" s="5" t="inlineStr">
        <is>
          <t>From Cuba observational study (Pinar del Rio 1986-1996)</t>
        </is>
      </c>
    </row>
    <row r="3">
      <c r="A3" t="inlineStr">
        <is>
          <t>Internal validity adjustment</t>
        </is>
      </c>
      <c r="B3" s="4" t="n">
        <v>0.7</v>
      </c>
      <c r="C3" s="6" t="inlineStr">
        <is>
          <t>Evidence base is observational, not RCT. Unchanged from original.</t>
        </is>
      </c>
    </row>
    <row r="4">
      <c r="A4" t="inlineStr">
        <is>
          <t>External validity adjustment</t>
        </is>
      </c>
      <c r="B4" s="4" t="n">
        <v>0.7</v>
      </c>
      <c r="C4" s="5" t="inlineStr">
        <is>
          <t>Cuba→India extrapolation. Cuba has universal free healthcare; India does not. Unchanged from original.</t>
        </is>
      </c>
    </row>
    <row r="5">
      <c r="A5" t="inlineStr">
        <is>
          <t>Combined validity-adjusted effect</t>
        </is>
      </c>
      <c r="B5" s="7">
        <f>B2*B3*B4</f>
        <v/>
      </c>
      <c r="C5" s="6" t="inlineStr">
        <is>
          <t>Calculation</t>
        </is>
      </c>
    </row>
    <row r="6">
      <c r="A6" t="inlineStr">
        <is>
          <t>% of over-20 deaths caused by RHD in India</t>
        </is>
      </c>
      <c r="B6" s="8" t="n">
        <v>0.0166</v>
      </c>
      <c r="C6" s="5" t="inlineStr">
        <is>
          <t>GBD 2021: ~166,017 India RHD deaths / ~10M all-cause deaths. Original used 1.50% (129k deaths).</t>
        </is>
      </c>
    </row>
    <row r="7">
      <c r="A7" t="inlineStr">
        <is>
          <t>Lifetime RHD deaths per cohort of 100,000</t>
        </is>
      </c>
      <c r="B7" s="9">
        <f>B6*100000</f>
        <v/>
      </c>
      <c r="C7" s="6" t="inlineStr">
        <is>
          <t>Calculation</t>
        </is>
      </c>
    </row>
    <row r="8">
      <c r="A8" t="inlineStr">
        <is>
          <t>Lifetime deaths averted per 100,000 with prevention program</t>
        </is>
      </c>
      <c r="B8" s="10">
        <f>B5*B7</f>
        <v/>
      </c>
      <c r="C8" s="6" t="inlineStr">
        <is>
          <t>Calculation</t>
        </is>
      </c>
    </row>
    <row r="9">
      <c r="A9" t="inlineStr">
        <is>
          <t>Units of value per RHD death averted (GW moral weights)</t>
        </is>
      </c>
      <c r="B9" t="n">
        <v>52.5</v>
      </c>
      <c r="C9" s="5" t="inlineStr">
        <is>
          <t>GiveWell moral weights for LMIC adult death. Unchanged.</t>
        </is>
      </c>
    </row>
    <row r="10">
      <c r="A10" t="inlineStr">
        <is>
          <t>Total units of value per 100,000 cohort</t>
        </is>
      </c>
      <c r="B10" s="9">
        <f>B8*B9</f>
        <v/>
      </c>
      <c r="C10" s="6" t="inlineStr">
        <is>
          <t>Calculation</t>
        </is>
      </c>
    </row>
    <row r="11">
      <c r="A11" s="1" t="inlineStr">
        <is>
          <t>Costs</t>
        </is>
      </c>
      <c r="C11" s="6" t="n"/>
    </row>
    <row r="12">
      <c r="A12" t="inlineStr">
        <is>
          <t>Annual program cost in 2010 USD (Watkins et al. 2015)</t>
        </is>
      </c>
      <c r="B12" s="11" t="n">
        <v>20289</v>
      </c>
      <c r="C12" s="5" t="inlineStr">
        <is>
          <t>From Cuba study. No new cost data found. GiveWell considered this 'possibly a gross underestimate'.</t>
        </is>
      </c>
    </row>
    <row r="13">
      <c r="A13" t="inlineStr">
        <is>
          <t>CPI inflation factor (2010 → 2026)</t>
        </is>
      </c>
      <c r="B13" t="n">
        <v>1.46</v>
      </c>
      <c r="C13" s="5" t="inlineStr">
        <is>
          <t>I'm estimating ~1.46 for 2010→2026. Should verify with BLS CPI calculator.</t>
        </is>
      </c>
    </row>
    <row r="14">
      <c r="A14" t="inlineStr">
        <is>
          <t>Annual program cost in 2026 USD</t>
        </is>
      </c>
      <c r="B14" s="11">
        <f>B12*B13</f>
        <v/>
      </c>
      <c r="C14" s="6" t="inlineStr">
        <is>
          <t>Calculation</t>
        </is>
      </c>
    </row>
    <row r="15">
      <c r="A15" t="inlineStr">
        <is>
          <t>Number covered by program annually (Watkins et al. 2015)</t>
        </is>
      </c>
      <c r="B15" s="9" t="n">
        <v>273933</v>
      </c>
      <c r="C15" s="5" t="inlineStr">
        <is>
          <t>From original Cuba study</t>
        </is>
      </c>
    </row>
    <row r="16">
      <c r="A16" t="inlineStr">
        <is>
          <t>Annual cost per beneficiary</t>
        </is>
      </c>
      <c r="B16" s="12">
        <f>B14/B15</f>
        <v/>
      </c>
      <c r="C16" s="6" t="inlineStr">
        <is>
          <t>Calculation</t>
        </is>
      </c>
    </row>
    <row r="17">
      <c r="A17" t="inlineStr">
        <is>
          <t>Duration of intervention per beneficiary (years)</t>
        </is>
      </c>
      <c r="B17" t="n">
        <v>19</v>
      </c>
      <c r="C17" s="6" t="inlineStr">
        <is>
          <t>Covers ages 5-24. Unchanged from original.</t>
        </is>
      </c>
    </row>
    <row r="18">
      <c r="A18" t="inlineStr">
        <is>
          <t>Total cost per beneficiary (lifetime)</t>
        </is>
      </c>
      <c r="B18" s="12">
        <f>B16*B17</f>
        <v/>
      </c>
      <c r="C18" s="6" t="inlineStr">
        <is>
          <t>Calculation</t>
        </is>
      </c>
    </row>
    <row r="19">
      <c r="A19" t="inlineStr">
        <is>
          <t>Total cost per 100,000 cohort</t>
        </is>
      </c>
      <c r="B19" s="11">
        <f>B18*100000</f>
        <v/>
      </c>
      <c r="C19" s="6" t="inlineStr">
        <is>
          <t>Calculation</t>
        </is>
      </c>
    </row>
    <row r="20">
      <c r="A20" s="1" t="inlineStr">
        <is>
          <t>Final CE estimate</t>
        </is>
      </c>
      <c r="C20" s="6" t="n"/>
    </row>
    <row r="21">
      <c r="A21" t="inlineStr">
        <is>
          <t>Units of value per $100,000 donated</t>
        </is>
      </c>
      <c r="B21" s="9">
        <f>B10/B19*100000</f>
        <v/>
      </c>
      <c r="C21" s="6" t="inlineStr">
        <is>
          <t>Calculation</t>
        </is>
      </c>
    </row>
    <row r="22">
      <c r="A22" t="inlineStr">
        <is>
          <t>GiveDirectly units of value per $100,000</t>
        </is>
      </c>
      <c r="B22" t="n">
        <v>344</v>
      </c>
      <c r="C22" s="5" t="inlineStr">
        <is>
          <t>GW benchmark</t>
        </is>
      </c>
    </row>
    <row r="23">
      <c r="A23" t="inlineStr">
        <is>
          <t>Cost per death averted</t>
        </is>
      </c>
      <c r="B23" s="11">
        <f>B19/B8</f>
        <v/>
      </c>
      <c r="C23" s="6" t="inlineStr">
        <is>
          <t>Calculation</t>
        </is>
      </c>
    </row>
    <row r="24">
      <c r="A24" t="inlineStr">
        <is>
          <t>CE (multiples of cash)</t>
        </is>
      </c>
      <c r="B24" s="13">
        <f>B21/B22</f>
        <v/>
      </c>
      <c r="C24" s="6" t="inlineStr">
        <is>
          <t>Main result. Almost certainly overstated due to cost underestimation.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4" r:id="rId2"/>
    <hyperlink xmlns:r="http://schemas.openxmlformats.org/officeDocument/2006/relationships" ref="C6" r:id="rId3"/>
    <hyperlink xmlns:r="http://schemas.openxmlformats.org/officeDocument/2006/relationships" ref="C9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5" r:id="rId7"/>
    <hyperlink xmlns:r="http://schemas.openxmlformats.org/officeDocument/2006/relationships" ref="C22" r:id="rId8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2026-03-18T00:10:50Z</dcterms:created>
  <dcterms:modified xsi:type="dcterms:W3CDTF">2026-03-18T00:10:50Z</dcterms:modified>
</cp:coreProperties>
</file>