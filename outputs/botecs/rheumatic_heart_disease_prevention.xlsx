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$#,##0"/>
    <numFmt numFmtId="167" formatCode="$#,##0.00"/>
    <numFmt numFmtId="168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9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2" authorId="0" shapeId="0">
      <text>
        <t>Original paper abstract: "a decline in RHD prevalence from 2.27 patients per 1 000 children in 1986 to 0.24 per 1 000 in 1996" — implies ~89% reduction over 10 years, assuming decline is fully attributable to the intervention.
Source: cited in original QEA.</t>
      </text>
    </comment>
    <comment ref="C6" authorId="0" shapeId="0">
      <text>
        <t>AHA Circulation 2023 abstract reports India had an estimated 166,017 RHD deaths in 2021 using GBD 2021 data. I could not verify this against the raw GBD database — medium confidence.
https://www.ahajournals.org/doi/10.1161/circ.150.suppl_1.4144731</t>
      </text>
    </comment>
    <comment ref="C20" authorId="0" shapeId="0">
      <text>
        <t>The original QEA stated: "I am concerned that the cost estimate (from the academic lit) may be an underestimate, possibly a gross one." and noted the intervention would still be 10x cash at 6x cost increase.
https://docs.google.com/document/d/1siZVFAA3E3SLWroQ_oQqTuxUBMfEYvM_z8tL6eOp2Y8/edit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document/d/1siZVFAA3E3SLWroQ_oQqTuxUBMfEYvM_z8tL6eOp2Y8/edit" TargetMode="External" Id="rId1" /><Relationship Type="http://schemas.openxmlformats.org/officeDocument/2006/relationships/hyperlink" Target="https://docs.google.com/document/d/1siZVFAA3E3SLWroQ_oQqTuxUBMfEYvM_z8tL6eOp2Y8/edit" TargetMode="External" Id="rId2" /><Relationship Type="http://schemas.openxmlformats.org/officeDocument/2006/relationships/hyperlink" Target="https://www.ahajournals.org/doi/10.1161/circ.150.suppl_1.4144731" TargetMode="External" Id="rId3" /><Relationship Type="http://schemas.openxmlformats.org/officeDocument/2006/relationships/hyperlink" Target="https://docs.google.com/spreadsheets/d/1FVr6y-dke7kJUIDbEt5Bqah4zPsc7gaBEqFki08DKaA/edit" TargetMode="External" Id="rId4" /><Relationship Type="http://schemas.openxmlformats.org/officeDocument/2006/relationships/hyperlink" Target="https://docs.google.com/document/d/1siZVFAA3E3SLWroQ_oQqTuxUBMfEYvM_z8tL6eOp2Y8/edit" TargetMode="External" Id="rId5" /><Relationship Type="http://schemas.openxmlformats.org/officeDocument/2006/relationships/hyperlink" Target="https://docs.google.com/document/d/1siZVFAA3E3SLWroQ_oQqTuxUBMfEYvM_z8tL6eOp2Y8/edit" TargetMode="External" Id="rId6" /><Relationship Type="http://schemas.openxmlformats.org/officeDocument/2006/relationships/hyperlink" Target="https://www.bls.gov/data/inflation_calculator.htm" TargetMode="External" Id="rId7" /><Relationship Type="http://schemas.openxmlformats.org/officeDocument/2006/relationships/hyperlink" Target="https://docs.google.com/spreadsheets/d/1FVr6y-dke7kJUIDbEt5Bqah4zPsc7gaBEqFki08DKaA/edit" TargetMode="External" Id="rId8" /><Relationship Type="http://schemas.openxmlformats.org/officeDocument/2006/relationships/hyperlink" Target="https://docs.google.com/spreadsheets/d/1FVr6y-dke7kJUIDbEt5Bqah4zPsc7gaBEqFki08DKaA/edit" TargetMode="External" Id="rId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65" customWidth="1" min="1" max="1"/>
    <col width="18" customWidth="1" min="2" max="2"/>
    <col width="80" customWidth="1" min="3" max="3"/>
  </cols>
  <sheetData>
    <row r="1">
      <c r="A1" s="1" t="inlineStr">
        <is>
          <t>Burden &amp; effect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Effect size: % reduction in RHD risk with prevention program</t>
        </is>
      </c>
      <c r="B2" s="4" t="n">
        <v>0.89</v>
      </c>
      <c r="C2" s="5" t="inlineStr">
        <is>
          <t>From Cuba observational study (Pinar del Rio 1986-1996)</t>
        </is>
      </c>
    </row>
    <row r="3">
      <c r="A3" t="inlineStr">
        <is>
          <t>Internal validity (IV) adjustment</t>
        </is>
      </c>
      <c r="B3" s="4" t="n">
        <v>0.7</v>
      </c>
      <c r="C3" s="6" t="inlineStr">
        <is>
          <t>Evidence base is observational, not RCT. Unchanged from original.</t>
        </is>
      </c>
    </row>
    <row r="4">
      <c r="A4" t="inlineStr">
        <is>
          <t>External validity (EV) adjustment</t>
        </is>
      </c>
      <c r="B4" s="4" t="n">
        <v>0.7</v>
      </c>
      <c r="C4" s="5" t="inlineStr">
        <is>
          <t>Cuba→India extrapolation. Cuba has universal free healthcare; India does not. Unchanged from original.</t>
        </is>
      </c>
    </row>
    <row r="5">
      <c r="A5" t="inlineStr">
        <is>
          <t>Combined validity-adjusted effect</t>
        </is>
      </c>
      <c r="B5" s="7">
        <f>B2*B3*B4</f>
        <v/>
      </c>
      <c r="C5" s="6" t="inlineStr">
        <is>
          <t>Calculation</t>
        </is>
      </c>
    </row>
    <row r="6">
      <c r="A6" t="inlineStr">
        <is>
          <t>% of over-20 deaths caused by RHD in India</t>
        </is>
      </c>
      <c r="B6" s="8" t="n">
        <v>0.0166</v>
      </c>
      <c r="C6" s="5" t="inlineStr">
        <is>
          <t>GBD 2021: ~166,017 India RHD deaths / ~10M all-cause deaths. Original used 1.50% (129k deaths).</t>
        </is>
      </c>
    </row>
    <row r="7">
      <c r="A7" t="inlineStr">
        <is>
          <t>Lifetime RHD deaths per cohort of 100,000</t>
        </is>
      </c>
      <c r="B7" s="9">
        <f>B6*100000</f>
        <v/>
      </c>
      <c r="C7" s="6" t="inlineStr">
        <is>
          <t>Calculation</t>
        </is>
      </c>
    </row>
    <row r="8">
      <c r="A8" t="inlineStr">
        <is>
          <t>Lifetime deaths averted per 100,000 with prevention program</t>
        </is>
      </c>
      <c r="B8" s="10">
        <f>B5*B7</f>
        <v/>
      </c>
      <c r="C8" s="6" t="inlineStr">
        <is>
          <t>Calculation</t>
        </is>
      </c>
    </row>
    <row r="9">
      <c r="A9" s="1" t="inlineStr">
        <is>
          <t>Mortality benefit</t>
        </is>
      </c>
      <c r="C9" s="6" t="n"/>
    </row>
    <row r="10">
      <c r="A10" t="inlineStr">
        <is>
          <t>Units of value per RHD death averted (GW moral weights)</t>
        </is>
      </c>
      <c r="B10" t="n">
        <v>52.5</v>
      </c>
      <c r="C10" s="5" t="inlineStr">
        <is>
          <t>GiveWell moral weights for LMIC adult death. Unchanged.</t>
        </is>
      </c>
    </row>
    <row r="11">
      <c r="A11" t="inlineStr">
        <is>
          <t>UoV from mortality per 100,000 cohort</t>
        </is>
      </c>
      <c r="B11" s="9">
        <f>B8*B10</f>
        <v/>
      </c>
      <c r="C11" s="6" t="inlineStr">
        <is>
          <t>Calculation</t>
        </is>
      </c>
    </row>
    <row r="12">
      <c r="A12" s="1" t="inlineStr">
        <is>
          <t>Ad-hoc benefit adjustments (subjective)</t>
        </is>
      </c>
      <c r="C12" s="6" t="n"/>
    </row>
    <row r="13">
      <c r="A13" t="inlineStr">
        <is>
          <t>Morbidity uplift: YLDs averted from RHD (% of mortality UoV)</t>
        </is>
      </c>
      <c r="B13" s="4" t="n">
        <v>0.3</v>
      </c>
      <c r="C13" s="6" t="inlineStr">
        <is>
          <t>I'm assuming +30%. RHD causes chronic heart failure, reduced exercise tolerance, and need for lifelong secondary prophylaxis. This is a rough guess — not verified against GBD YLD data.</t>
        </is>
      </c>
    </row>
    <row r="14">
      <c r="A14" t="inlineStr">
        <is>
          <t>Perinatal outcomes uplift (% of mortality UoV)</t>
        </is>
      </c>
      <c r="B14" s="4" t="n">
        <v>0.15</v>
      </c>
      <c r="C14" s="5" t="inlineStr">
        <is>
          <t>I'm assuming +15%. RHD is 'the principal heart disease seen in pregnant women' per WHO; causes maternal and perinatal morbidity/mortality. Rough guess.</t>
        </is>
      </c>
    </row>
    <row r="15">
      <c r="A15" t="inlineStr">
        <is>
          <t>Total UoV per 100,000 cohort (with adjustments)</t>
        </is>
      </c>
      <c r="B15" s="9">
        <f>B11*(1+B13+B14)</f>
        <v/>
      </c>
      <c r="C15" s="6" t="inlineStr">
        <is>
          <t>Calculation: mortality UoV x (1 + morbidity + perinatal)</t>
        </is>
      </c>
    </row>
    <row r="16">
      <c r="A16" s="1" t="inlineStr">
        <is>
          <t>Costs</t>
        </is>
      </c>
      <c r="C16" s="6" t="n"/>
    </row>
    <row r="17">
      <c r="A17" t="inlineStr">
        <is>
          <t>Annual program cost in 2010 USD (Watkins et al. 2015)</t>
        </is>
      </c>
      <c r="B17" s="11" t="n">
        <v>20289</v>
      </c>
      <c r="C17" s="5" t="inlineStr">
        <is>
          <t>From Cuba study. No new cost data found. GiveWell considered this 'possibly a gross underestimate'.</t>
        </is>
      </c>
    </row>
    <row r="18">
      <c r="A18" t="inlineStr">
        <is>
          <t>CPI inflation factor (2010 → 2026)</t>
        </is>
      </c>
      <c r="B18" t="n">
        <v>1.46</v>
      </c>
      <c r="C18" s="5" t="inlineStr">
        <is>
          <t>I'm estimating ~1.46 for 2010→2026. Should verify with BLS CPI calculator.</t>
        </is>
      </c>
    </row>
    <row r="19">
      <c r="A19" t="inlineStr">
        <is>
          <t>Annual program cost in 2026 USD (pre-adjustment)</t>
        </is>
      </c>
      <c r="B19" s="11">
        <f>B17*B18</f>
        <v/>
      </c>
      <c r="C19" s="6" t="inlineStr">
        <is>
          <t>Calculation</t>
        </is>
      </c>
    </row>
    <row r="20">
      <c r="A20" t="inlineStr">
        <is>
          <t>Subjective cost multiplier</t>
        </is>
      </c>
      <c r="B20" t="n">
        <v>3</v>
      </c>
      <c r="C20" s="6" t="inlineStr">
        <is>
          <t>I'm assuming 3x. Cuba has universal free healthcare with existing primary care infrastructure; India would need to build screening, treatment, and referral systems. 3x is moderate — at 5x the CE is still ~16x (above bar). At 1x (original) CE is ~54x (almost certainly too high).</t>
        </is>
      </c>
    </row>
    <row r="21">
      <c r="A21" t="inlineStr">
        <is>
          <t>Adjusted annual program cost in 2026 USD</t>
        </is>
      </c>
      <c r="B21" s="11">
        <f>B19*B20</f>
        <v/>
      </c>
      <c r="C21" s="6" t="inlineStr">
        <is>
          <t>Calculation</t>
        </is>
      </c>
    </row>
    <row r="22">
      <c r="A22" t="inlineStr">
        <is>
          <t>Number covered by program annually (Watkins et al. 2015)</t>
        </is>
      </c>
      <c r="B22" s="9" t="n">
        <v>273933</v>
      </c>
      <c r="C22" s="5" t="inlineStr">
        <is>
          <t>From original Cuba study</t>
        </is>
      </c>
    </row>
    <row r="23">
      <c r="A23" t="inlineStr">
        <is>
          <t>Adjusted annual cost per beneficiary</t>
        </is>
      </c>
      <c r="B23" s="12">
        <f>B21/B22</f>
        <v/>
      </c>
      <c r="C23" s="6" t="inlineStr">
        <is>
          <t>Calculation</t>
        </is>
      </c>
    </row>
    <row r="24">
      <c r="A24" t="inlineStr">
        <is>
          <t>Duration of intervention per beneficiary (years)</t>
        </is>
      </c>
      <c r="B24" t="n">
        <v>19</v>
      </c>
      <c r="C24" s="6" t="inlineStr">
        <is>
          <t>Covers ages 5-24. Unchanged from original.</t>
        </is>
      </c>
    </row>
    <row r="25">
      <c r="A25" t="inlineStr">
        <is>
          <t>Total cost per beneficiary (lifetime)</t>
        </is>
      </c>
      <c r="B25" s="12">
        <f>B23*B24</f>
        <v/>
      </c>
      <c r="C25" s="6" t="inlineStr">
        <is>
          <t>Calculation</t>
        </is>
      </c>
    </row>
    <row r="26">
      <c r="A26" t="inlineStr">
        <is>
          <t>Total cost per 100,000 cohort</t>
        </is>
      </c>
      <c r="B26" s="11">
        <f>B25*100000</f>
        <v/>
      </c>
      <c r="C26" s="6" t="inlineStr">
        <is>
          <t>Calculation</t>
        </is>
      </c>
    </row>
    <row r="27">
      <c r="A27" s="1" t="inlineStr">
        <is>
          <t>Final CE estimate</t>
        </is>
      </c>
      <c r="C27" s="6" t="n"/>
    </row>
    <row r="28">
      <c r="A28" t="inlineStr">
        <is>
          <t>Units of value per $100,000 donated</t>
        </is>
      </c>
      <c r="B28" s="9">
        <f>B15/B26*100000</f>
        <v/>
      </c>
      <c r="C28" s="6" t="inlineStr">
        <is>
          <t>Calculation</t>
        </is>
      </c>
    </row>
    <row r="29">
      <c r="A29" t="inlineStr">
        <is>
          <t>GiveDirectly units of value per $100,000</t>
        </is>
      </c>
      <c r="B29" t="n">
        <v>344</v>
      </c>
      <c r="C29" s="5" t="inlineStr">
        <is>
          <t>GW benchmark</t>
        </is>
      </c>
    </row>
    <row r="30">
      <c r="A30" t="inlineStr">
        <is>
          <t>Cost per death averted</t>
        </is>
      </c>
      <c r="B30" s="11">
        <f>B26/B8</f>
        <v/>
      </c>
      <c r="C30" s="6" t="inlineStr">
        <is>
          <t>Calculation (mortality only; does not include morbidity/perinatal)</t>
        </is>
      </c>
    </row>
    <row r="31">
      <c r="A31" t="inlineStr">
        <is>
          <t>CE (multiples of cash)</t>
        </is>
      </c>
      <c r="B31" s="13">
        <f>B28/B29</f>
        <v/>
      </c>
      <c r="C31" s="6" t="inlineStr">
        <is>
          <t>Best-guess estimate. Includes 3x cost multiplier and ad-hoc benefit adjustments. At 5x cost multiplier → ~16x. Confidence: Low (cost is pivotal unknown).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  <hyperlink xmlns:r="http://schemas.openxmlformats.org/officeDocument/2006/relationships" ref="C6" r:id="rId3"/>
    <hyperlink xmlns:r="http://schemas.openxmlformats.org/officeDocument/2006/relationships" ref="C10" r:id="rId4"/>
    <hyperlink xmlns:r="http://schemas.openxmlformats.org/officeDocument/2006/relationships" ref="C14" r:id="rId5"/>
    <hyperlink xmlns:r="http://schemas.openxmlformats.org/officeDocument/2006/relationships" ref="C17" r:id="rId6"/>
    <hyperlink xmlns:r="http://schemas.openxmlformats.org/officeDocument/2006/relationships" ref="C18" r:id="rId7"/>
    <hyperlink xmlns:r="http://schemas.openxmlformats.org/officeDocument/2006/relationships" ref="C22" r:id="rId8"/>
    <hyperlink xmlns:r="http://schemas.openxmlformats.org/officeDocument/2006/relationships" ref="C29" r:id="rId9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2026-03-18T22:01:30Z</dcterms:created>
  <dcterms:modified xsi:type="dcterms:W3CDTF">2026-03-18T22:01:30Z</dcterms:modified>
</cp:coreProperties>
</file>