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6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The synbiotic consists of Lactobacillus plantarum (ATCC 202195) + fructooligosaccharide, given orally for 7 days starting in the first days of life. Drug cost ~$1 per course based on Panigrahi et al. 2017 media coverage. Novonesis (formerly Chr. Hansen) manufactures LP202195 (product name PPLP-217) and supplies for research trials.</t>
      </text>
    </comment>
    <comment ref="C4" authorId="0" shapeId="0">
      <text>
        <t>PROSYNK Kenya trial found programmatic cost of $9.15/infant for a 32-dose/6-month regimen — but this is a much longer protocol than Panigrahi's 7-day course. For a 7-day regimen delivered through existing community health worker platforms (e.g., postnatal home visits), delivery costs would be lower. I'm assuming $4/course overhead ($5 total), which is between the original $1 overhead and PROSYNK's ~$8 overhead. This is uncertain — at scale through government platforms, could be lower; in a new standalone program, could be higher.</t>
      </text>
    </comment>
    <comment ref="C9" authorId="0" shapeId="0">
      <text>
        <t>Panigrahi et al. 2017 (Nature, n=4,556): "206 [death or culture-positive sepsis events] in the control group [n=2,278]." Baseline risk = 206/2,278 = 9.04%. Note: the original BOTEC author flagged that 'Neonatal mortality rates were very high in the study setting. The baseline risk of sepsis and/or death may be much lower in other areas.' The EV adjustment accounts for this.</t>
      </text>
    </comment>
    <comment ref="C10" authorId="0" shapeId="0">
      <text>
        <t>Panigrahi et al. 2017: "The relative risk of the primary outcome [sepsis or death] was 0.60 (95% CI 0.48-0.74)." Based on a single large RCT (n=4,556). The trial also found significant reduction in lower respiratory infections (RR 0.66) and local infections (RR 0.70). A corrigendum was published (Nature 2017) correcting statements about culture-positive vs. culture-negative cases, but the primary endpoint result was unchanged.</t>
      </text>
    </comment>
    <comment ref="C13" authorId="0" shapeId="0">
      <text>
        <t>The original BOTEC used 5% as an acknowledged guess. Fleischmann et al. 2021 (systematic review, 26 studies, 2.8M live births): pooled CFR 17.6% (95% CI 10.3-28.6%). BARNARDS study (Lancet Global Health 2022, 7 LMICs): 13.3% for lab-confirmed sepsis. pSBI pooled estimate: 9.8%. Using 15% as a central estimate, roughly the midpoint of BARNARDS (13.3%) and the global pooled (17.6%). This is the key correction from the original BOTEC — the 5% figure was 2-3x too low.</t>
      </text>
    </comment>
    <comment ref="C15" authorId="0" shapeId="0">
      <text>
        <t>The Panigrahi trial is well-powered and published in Nature, which supports high IV. But: (1) single trial with no clinical efficacy replication in 8+ years; (2) a corrigendum was published; (3) the Bangladesh Phase 2 trial (Pell et al. 2025) failed to replicate persistent gut colonization — raising doubt about the mechanism in other settings. 70% IV reflects these concerns while still crediting the trial's RCT design and strong statistical significance (95% CI 0.48-0.74).</t>
      </text>
    </comment>
    <comment ref="C16" authorId="0" shapeId="0">
      <text>
        <t>The trial was in rural Odisha, India — a high neonatal mortality setting. Key EV concerns: (1) the Bangladesh trial found LP202195 colonization 'did not persist beyond 2 months,' inconsistent with 6-month persistence in India; (2) baseline sepsis risk (9.04%) may be higher than in other LMIC settings (global average ~3.8%); (3) gut microbiome composition varies across populations and may affect colonization success. 60% EV reflects the serious uncertainty about whether the clinical effect generalizes.</t>
      </text>
    </comment>
    <comment ref="C20" authorId="0" shapeId="0">
      <text>
        <t>Most neonatal sepsis deaths occur in the first 7 days (early neonatal: MW 83.6) with some in days 7-28 (late neonatal: MW 84.5). Using 84 as weighted average (heavier weight on early neonatal given that early-onset sepsis accounts for ~66% of neonatal sepsis deaths per GBD 2021: 136k early-onset vs 70k late-onset).</t>
      </text>
    </comment>
    <comment ref="C22" authorId="0" shapeId="0">
      <text>
        <t>Neonatal sepsis survivors have elevated risk of neurodevelopmental impairment, hearing loss, and growth faltering. A meta-analysis found ~23% of neonatal sepsis survivors have at least one major neurodevelopmental impairment. Preventing sepsis cases averts these long-term sequelae. 10% is a conservative morbidity uplift acknowledging that most BOTEC value comes from deaths averted.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ure.com/articles/nature23480" TargetMode="External" Id="rId1" /><Relationship Type="http://schemas.openxmlformats.org/officeDocument/2006/relationships/hyperlink" Target="https://www.nature.com/articles/nature23480" TargetMode="External" Id="rId2" /><Relationship Type="http://schemas.openxmlformats.org/officeDocument/2006/relationships/hyperlink" Target="https://www.nature.com/articles/nature23480" TargetMode="External" Id="rId3" /><Relationship Type="http://schemas.openxmlformats.org/officeDocument/2006/relationships/hyperlink" Target="https://pmc.ncbi.nlm.nih.gov/articles/PMC8311109/" TargetMode="External" Id="rId4" /><Relationship Type="http://schemas.openxmlformats.org/officeDocument/2006/relationships/hyperlink" Target="https://docs.google.com/spreadsheets/d/1YiZmHQb-JsDIDJF_tKKVte2x5NOL0CGUTndJNoB0iHo/" TargetMode="External" Id="rId5" /><Relationship Type="http://schemas.openxmlformats.org/officeDocument/2006/relationships/hyperlink" Target="https://www.medrxiv.org/content/10.1101/2024.12.17.24319142v1.full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Drug cost per synbiotic course</t>
        </is>
      </c>
      <c r="B3" s="6" t="n">
        <v>1</v>
      </c>
      <c r="C3" s="7" t="inlineStr">
        <is>
          <t>Panigrahi trial: ~$1/course for 7-day regimen</t>
        </is>
      </c>
    </row>
    <row r="4">
      <c r="A4" t="inlineStr">
        <is>
          <t>Delivery/overhead costs per course</t>
        </is>
      </c>
      <c r="B4" s="6" t="n">
        <v>4</v>
      </c>
      <c r="C4" s="5" t="inlineStr">
        <is>
          <t>Assumption: $4 delivery overhead for a scaled 7-day regimen</t>
        </is>
      </c>
    </row>
    <row r="5">
      <c r="A5" t="inlineStr">
        <is>
          <t>Total cost per synbiotic course</t>
        </is>
      </c>
      <c r="B5" s="6">
        <f>B3+B4</f>
        <v/>
      </c>
      <c r="C5" s="5" t="inlineStr">
        <is>
          <t>Calculation</t>
        </is>
      </c>
    </row>
    <row r="6">
      <c r="A6" t="inlineStr">
        <is>
          <t>Neonates treated</t>
        </is>
      </c>
      <c r="B6" s="8">
        <f>B2/B5</f>
        <v/>
      </c>
      <c r="C6" s="5" t="inlineStr">
        <is>
          <t>Calculation</t>
        </is>
      </c>
    </row>
    <row r="7">
      <c r="A7" t="inlineStr"/>
      <c r="C7" s="5" t="n"/>
    </row>
    <row r="8">
      <c r="A8" s="1" t="inlineStr">
        <is>
          <t>Burden &amp; effect</t>
        </is>
      </c>
      <c r="C8" s="5" t="n"/>
    </row>
    <row r="9">
      <c r="A9" t="inlineStr">
        <is>
          <t>Baseline risk of death or sepsis (composite)</t>
        </is>
      </c>
      <c r="B9" s="9" t="n">
        <v>0.09039999999999999</v>
      </c>
      <c r="C9" s="7" t="inlineStr">
        <is>
          <t>Panigrahi 2017: 206/2,278 in control group</t>
        </is>
      </c>
    </row>
    <row r="10">
      <c r="A10" t="inlineStr">
        <is>
          <t>RR for death or sepsis (synbiotic vs. placebo)</t>
        </is>
      </c>
      <c r="B10" s="10" t="n">
        <v>0.6</v>
      </c>
      <c r="C10" s="7" t="inlineStr">
        <is>
          <t>Panigrahi 2017: RR 0.60 (95% CI 0.48-0.74)</t>
        </is>
      </c>
    </row>
    <row r="11">
      <c r="A11" t="inlineStr">
        <is>
          <t>Absolute risk reduction</t>
        </is>
      </c>
      <c r="B11" s="9">
        <f>B9*(1-B10)</f>
        <v/>
      </c>
      <c r="C11" s="5" t="inlineStr">
        <is>
          <t>Calculation</t>
        </is>
      </c>
    </row>
    <row r="12">
      <c r="A12" t="inlineStr">
        <is>
          <t>Composite death/sepsis events prevented</t>
        </is>
      </c>
      <c r="B12" s="8">
        <f>B6*B11</f>
        <v/>
      </c>
      <c r="C12" s="5" t="inlineStr">
        <is>
          <t>Calculation</t>
        </is>
      </c>
    </row>
    <row r="13">
      <c r="A13" t="inlineStr">
        <is>
          <t>Neonatal sepsis case fatality rate (CFR)</t>
        </is>
      </c>
      <c r="B13" s="11" t="n">
        <v>0.15</v>
      </c>
      <c r="C13" s="7" t="inlineStr">
        <is>
          <t>Midpoint of systematic review estimates (10-20%)</t>
        </is>
      </c>
    </row>
    <row r="14">
      <c r="A14" t="inlineStr">
        <is>
          <t>Deaths before adjustments</t>
        </is>
      </c>
      <c r="B14" s="8">
        <f>B12*B13</f>
        <v/>
      </c>
      <c r="C14" s="5" t="inlineStr">
        <is>
          <t>Calculation: composite events prevented × CFR</t>
        </is>
      </c>
    </row>
    <row r="15">
      <c r="A15" t="inlineStr">
        <is>
          <t>Internal validity adjustment</t>
        </is>
      </c>
      <c r="B15" s="11" t="n">
        <v>0.7</v>
      </c>
      <c r="C15" s="5" t="inlineStr">
        <is>
          <t>Single large RCT (Nature, n=4,556) but unreplicated; corrigendum</t>
        </is>
      </c>
    </row>
    <row r="16">
      <c r="A16" t="inlineStr">
        <is>
          <t>External validity adjustment</t>
        </is>
      </c>
      <c r="B16" s="11" t="n">
        <v>0.6</v>
      </c>
      <c r="C16" s="5" t="inlineStr">
        <is>
          <t>Rural Odisha, India → other LMIC settings; colonization persistence concern</t>
        </is>
      </c>
    </row>
    <row r="17">
      <c r="A17" t="inlineStr">
        <is>
          <t>Deaths averted (adjusted)</t>
        </is>
      </c>
      <c r="B17" s="8">
        <f>B14*B15*B16</f>
        <v/>
      </c>
      <c r="C17" s="5" t="inlineStr">
        <is>
          <t>Calculation</t>
        </is>
      </c>
    </row>
    <row r="18">
      <c r="A18" t="inlineStr"/>
      <c r="C18" s="5" t="n"/>
    </row>
    <row r="19">
      <c r="A19" s="1" t="inlineStr">
        <is>
          <t>Benefits</t>
        </is>
      </c>
      <c r="C19" s="5" t="n"/>
    </row>
    <row r="20">
      <c r="A20" t="inlineStr">
        <is>
          <t>Moral weight per neonatal death averted (UoV)</t>
        </is>
      </c>
      <c r="B20" t="n">
        <v>84</v>
      </c>
      <c r="C20" s="7" t="inlineStr">
        <is>
          <t>GiveWell 2020 moral weights, neonatal age bracket</t>
        </is>
      </c>
    </row>
    <row r="21">
      <c r="A21" t="inlineStr">
        <is>
          <t>UoV from deaths averted</t>
        </is>
      </c>
      <c r="B21" s="8">
        <f>B17*B20</f>
        <v/>
      </c>
      <c r="C21" s="5" t="inlineStr">
        <is>
          <t>Calculation</t>
        </is>
      </c>
    </row>
    <row r="22">
      <c r="A22" t="inlineStr">
        <is>
          <t>Ad-hoc: morbidity uplift (developmental sequelae in sepsis survivors)</t>
        </is>
      </c>
      <c r="B22" s="11" t="n">
        <v>0.1</v>
      </c>
      <c r="C22" s="5" t="inlineStr">
        <is>
          <t>Assumption: 10% uplift for non-fatal benefits</t>
        </is>
      </c>
    </row>
    <row r="23">
      <c r="A23" t="inlineStr">
        <is>
          <t>Total UoV from program</t>
        </is>
      </c>
      <c r="B23" s="8">
        <f>B21*(1+B22)</f>
        <v/>
      </c>
      <c r="C23" s="5" t="inlineStr">
        <is>
          <t>Calculation</t>
        </is>
      </c>
    </row>
    <row r="24">
      <c r="A24" t="inlineStr"/>
      <c r="C24" s="5" t="n"/>
    </row>
    <row r="25">
      <c r="A25" s="1" t="inlineStr">
        <is>
          <t>Final CE</t>
        </is>
      </c>
      <c r="C25" s="5" t="n"/>
    </row>
    <row r="26">
      <c r="A26" t="inlineStr">
        <is>
          <t>Value per dollar spent on benchmark (GiveDirectly)</t>
        </is>
      </c>
      <c r="B26" t="n">
        <v>0.00344</v>
      </c>
      <c r="C26" s="5" t="n"/>
    </row>
    <row r="27">
      <c r="A27" t="inlineStr">
        <is>
          <t>CE (multiples of cash)</t>
        </is>
      </c>
      <c r="B27" s="12">
        <f>B23/B2/B26</f>
        <v/>
      </c>
      <c r="C27" s="5" t="inlineStr">
        <is>
          <t>Calculation</t>
        </is>
      </c>
    </row>
    <row r="28">
      <c r="A28" t="inlineStr">
        <is>
          <t>Cost per death averted (implied)</t>
        </is>
      </c>
      <c r="B28" s="4">
        <f>B2/B17</f>
        <v/>
      </c>
      <c r="C28" s="5" t="inlineStr">
        <is>
          <t>Cross-check</t>
        </is>
      </c>
    </row>
    <row r="29">
      <c r="A29" t="inlineStr"/>
      <c r="C29" s="5" t="n"/>
    </row>
    <row r="30">
      <c r="A30" s="1" t="inlineStr">
        <is>
          <t>Sensitivity</t>
        </is>
      </c>
      <c r="C30" s="5" t="n"/>
    </row>
    <row r="31">
      <c r="A31" t="inlineStr">
        <is>
          <t>CE at $2/course (original Indian cost)</t>
        </is>
      </c>
      <c r="B31" s="13">
        <f>(B2/2*B11*B13*B15*B16*B20*(1+B22))/(B2*B26)</f>
        <v/>
      </c>
      <c r="C31" s="5" t="inlineStr">
        <is>
          <t>Drug $1 + minimal overhead $1</t>
        </is>
      </c>
    </row>
    <row r="32">
      <c r="A32" t="inlineStr">
        <is>
          <t>CE at $5/course (central estimate)</t>
        </is>
      </c>
      <c r="B32" s="13">
        <f>B27</f>
        <v/>
      </c>
      <c r="C32" s="5">
        <f> main BOTEC estimate</f>
        <v/>
      </c>
    </row>
    <row r="33">
      <c r="A33" t="inlineStr">
        <is>
          <t>CE at $9/course (PROSYNK Kenya programmatic cost)</t>
        </is>
      </c>
      <c r="B33" s="13">
        <f>(B2/9*B11*B13*B15*B16*B20*(1+B22))/(B2*B26)</f>
        <v/>
      </c>
      <c r="C33" s="7" t="inlineStr">
        <is>
          <t>PROSYNK cost study (32-dose/6-month regimen)</t>
        </is>
      </c>
    </row>
    <row r="34">
      <c r="A34" t="inlineStr">
        <is>
          <t>CE at 10% CFR (conservative)</t>
        </is>
      </c>
      <c r="B34" s="13">
        <f>(B2/B5*B11*0.10*B15*B16*B20*(1+B22))/(B2*B26)</f>
        <v/>
      </c>
      <c r="C34" s="5" t="inlineStr">
        <is>
          <t>Lower bound of systematic review range</t>
        </is>
      </c>
    </row>
    <row r="35">
      <c r="A35" t="inlineStr">
        <is>
          <t>CE at 15% CFR (central estimate)</t>
        </is>
      </c>
      <c r="B35" s="13">
        <f>B27</f>
        <v/>
      </c>
      <c r="C35" s="5">
        <f> main BOTEC estimate</f>
        <v/>
      </c>
    </row>
    <row r="36">
      <c r="A36" t="inlineStr">
        <is>
          <t>CE at 20% CFR (higher estimate)</t>
        </is>
      </c>
      <c r="B36" s="13">
        <f>(B2/B5*B11*0.20*B15*B16*B20*(1+B22))/(B2*B26)</f>
        <v/>
      </c>
      <c r="C36" s="5" t="inlineStr">
        <is>
          <t>Upper-central range (Fleischmann pooled: 17.6%)</t>
        </is>
      </c>
    </row>
    <row r="37">
      <c r="A37" t="inlineStr">
        <is>
          <t>CE at 50% IV / 50% EV (heavy replication discount)</t>
        </is>
      </c>
      <c r="B37" s="13">
        <f>(B2/B5*B11*B13*0.50*0.50*B20*(1+B22))/(B2*B26)</f>
        <v/>
      </c>
      <c r="C37" s="5" t="inlineStr">
        <is>
          <t>If Bangladesh colonization failure warrants deeper skepticism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3" r:id="rId4"/>
    <hyperlink xmlns:r="http://schemas.openxmlformats.org/officeDocument/2006/relationships" ref="C20" r:id="rId5"/>
    <hyperlink xmlns:r="http://schemas.openxmlformats.org/officeDocument/2006/relationships" ref="C33" r:id="rId6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2026-04-07T22:40:32Z</dcterms:created>
  <dcterms:modified xsi:type="dcterms:W3CDTF">2026-04-07T22:40:32Z</dcterms:modified>
</cp:coreProperties>
</file>