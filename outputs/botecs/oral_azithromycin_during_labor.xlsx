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#,##0.0"/>
    <numFmt numFmtId="167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4" authorId="0" shapeId="0">
      <text>
        <t>The drug cost is $0.91. The original QEA assumed $7/pregnancy total by analogy to dual HIV/syphilis testing and IPTi. However, since the woman is already in the facility for delivery, the incremental cost of adding one oral tablet should be much lower. I'm assuming ~$2 for minor supply chain/training costs on top of $0.91 drug cost, giving $3/pregnancy total. This is a key assumption that needs programmatic data to validate.</t>
      </text>
    </comment>
    <comment ref="C11" authorId="0" shapeId="0">
      <text>
        <t>Tita et al., NEJM 2023: "The incidence of the primary outcome of maternal sepsis or death was lower in the azithromycin group than in the placebo group (1.6% vs. 2.4%; relative risk, 0.67; 95% CI, 0.56 to 0.79; P&lt;0.001)."
https://www.nejm.org/doi/full/10.1056/NEJMoa2212111</t>
      </text>
    </comment>
    <comment ref="C18" authorId="0" shapeId="0">
      <text>
        <t>A-PLUS: "The incidence of the co-primary outcome of neonatal sepsis, stillbirth, or death was similar in the azithromycin group and placebo group (10.5% vs. 10.3%; relative risk, 1.02; 95% CI, 0.95 to 1.09)."
PregnAnZI-2: "The overall incidence of the primary composite endpoint was similar in the azithromycin and in the placebo arm (2.0% vs 1.9%, p=0.70)"</t>
      </text>
    </comment>
    <comment ref="C23" authorId="0" shapeId="0">
      <text>
        <t>A-PLUS found reduced maternal infections (RR 0.75) beyond sepsis/death. This captures YLDs from non-fatal infections, reduced hospital readmissions, and reduced treatment costs. 15% is a rough estimate.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11950424/" TargetMode="External" Id="rId1" /><Relationship Type="http://schemas.openxmlformats.org/officeDocument/2006/relationships/hyperlink" Target="https://docs.google.com/spreadsheets/d/171kRw2c0D5glTLNrGDGLuQTlM0gEMXxNnP7ibj1lEp0/edit" TargetMode="External" Id="rId2" /><Relationship Type="http://schemas.openxmlformats.org/officeDocument/2006/relationships/hyperlink" Target="https://www.nejm.org/doi/full/10.1056/NEJMoa2212111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Drug cost per dose (2g oral azithromycin)</t>
        </is>
      </c>
      <c r="B3" s="6" t="n">
        <v>0.91</v>
      </c>
      <c r="C3" s="7" t="inlineStr">
        <is>
          <t>Lancet Global Health 2025 CEA: $0.91 per 2g dose</t>
        </is>
      </c>
    </row>
    <row r="4">
      <c r="A4" t="inlineStr">
        <is>
          <t>Incremental delivery cost per pregnancy (integration into facility care)</t>
        </is>
      </c>
      <c r="B4" s="6" t="n">
        <v>2.09</v>
      </c>
      <c r="C4" s="5" t="inlineStr">
        <is>
          <t>Assumption: ~$2 incremental cost for adding one oral tablet to existing delivery care. Original QEA used $7 based on analogy to other facility-based interventions, but this overstates cost since no new patient visits are required.</t>
        </is>
      </c>
    </row>
    <row r="5">
      <c r="A5" t="inlineStr">
        <is>
          <t>Total cost per pregnancy covered</t>
        </is>
      </c>
      <c r="B5" s="6">
        <f>B3+B4</f>
        <v/>
      </c>
      <c r="C5" s="5" t="inlineStr">
        <is>
          <t>Calculation</t>
        </is>
      </c>
    </row>
    <row r="6">
      <c r="A6" t="inlineStr">
        <is>
          <t>Number of pregnancies covered</t>
        </is>
      </c>
      <c r="B6" s="8">
        <f>B2/B5</f>
        <v/>
      </c>
      <c r="C6" s="5" t="inlineStr">
        <is>
          <t>Calculation</t>
        </is>
      </c>
    </row>
    <row r="7">
      <c r="A7" s="1" t="inlineStr"/>
      <c r="C7" s="5" t="n"/>
    </row>
    <row r="8">
      <c r="A8" s="1" t="inlineStr">
        <is>
          <t>Burden &amp; effect (modeled for Nigeria)</t>
        </is>
      </c>
      <c r="C8" s="5" t="n"/>
    </row>
    <row r="9">
      <c r="A9" t="inlineStr">
        <is>
          <t>Baseline facility-birth maternal mortality ratio (per 100,000)</t>
        </is>
      </c>
      <c r="B9" t="n">
        <v>735.1</v>
      </c>
      <c r="C9" s="7" t="inlineStr">
        <is>
          <t>From original QEA BOTEC, adjusted for facility births</t>
        </is>
      </c>
    </row>
    <row r="10">
      <c r="A10" t="inlineStr">
        <is>
          <t>Maternal deaths in cohort (baseline)</t>
        </is>
      </c>
      <c r="B10" s="9">
        <f>B6*B9/100000</f>
        <v/>
      </c>
      <c r="C10" s="5" t="inlineStr">
        <is>
          <t>Calculation</t>
        </is>
      </c>
    </row>
    <row r="11">
      <c r="A11" t="inlineStr">
        <is>
          <t>RR for maternal sepsis/death (azithromycin vs placebo)</t>
        </is>
      </c>
      <c r="B11" t="n">
        <v>0.67</v>
      </c>
      <c r="C11" s="7" t="inlineStr">
        <is>
          <t>A-PLUS trial (NEJM 2023)</t>
        </is>
      </c>
    </row>
    <row r="12">
      <c r="A12" t="inlineStr">
        <is>
          <t>Mortality reduction (1 - RR)</t>
        </is>
      </c>
      <c r="B12" s="10">
        <f>1-B11</f>
        <v/>
      </c>
      <c r="C12" s="5" t="inlineStr">
        <is>
          <t>Calculation</t>
        </is>
      </c>
    </row>
    <row r="13">
      <c r="A13" t="inlineStr">
        <is>
          <t>Internal validity adjustment</t>
        </is>
      </c>
      <c r="B13" s="10" t="n">
        <v>0.95</v>
      </c>
      <c r="C13" s="5" t="inlineStr">
        <is>
          <t>Large multicenter RCT (n=29,278), 7 LMIC sites. Minor discount for single trial.</t>
        </is>
      </c>
    </row>
    <row r="14">
      <c r="A14" t="inlineStr">
        <is>
          <t>External validity adjustment</t>
        </is>
      </c>
      <c r="B14" s="10" t="n">
        <v>0.85</v>
      </c>
      <c r="C14" s="5" t="inlineStr">
        <is>
          <t>Trial covered 7 LMICs including Nigeria. Discount for variation in facility quality and MMR composition.</t>
        </is>
      </c>
    </row>
    <row r="15">
      <c r="A15" t="inlineStr">
        <is>
          <t>Adjusted maternal deaths averted</t>
        </is>
      </c>
      <c r="B15" s="9">
        <f>B10*B12*B13*B14</f>
        <v/>
      </c>
      <c r="C15" s="5" t="inlineStr">
        <is>
          <t>Calculation</t>
        </is>
      </c>
    </row>
    <row r="16">
      <c r="A16" s="1" t="inlineStr"/>
      <c r="C16" s="5" t="n"/>
    </row>
    <row r="17">
      <c r="A17" s="1" t="inlineStr">
        <is>
          <t>Neonatal mortality (null result)</t>
        </is>
      </c>
      <c r="C17" s="5" t="n"/>
    </row>
    <row r="18">
      <c r="A18" t="inlineStr">
        <is>
          <t>Neonatal deaths averted</t>
        </is>
      </c>
      <c r="B18" t="n">
        <v>0</v>
      </c>
      <c r="C18" s="5" t="inlineStr">
        <is>
          <t>A-PLUS: RR 1.02 (null). PregnAnZI-2: also null. No neonatal benefit.</t>
        </is>
      </c>
    </row>
    <row r="19">
      <c r="A19" s="1" t="inlineStr"/>
      <c r="C19" s="5" t="n"/>
    </row>
    <row r="20">
      <c r="A20" s="1" t="inlineStr">
        <is>
          <t>Benefits</t>
        </is>
      </c>
      <c r="C20" s="5" t="n"/>
    </row>
    <row r="21">
      <c r="A21" t="inlineStr">
        <is>
          <t>Moral weight per maternal death averted (UoV)</t>
        </is>
      </c>
      <c r="B21" t="n">
        <v>125</v>
      </c>
      <c r="C21" s="5" t="inlineStr">
        <is>
          <t>From original QEA BOTEC (GiveWell standard)</t>
        </is>
      </c>
    </row>
    <row r="22">
      <c r="A22" t="inlineStr">
        <is>
          <t>UoV from maternal deaths averted</t>
        </is>
      </c>
      <c r="B22" s="8">
        <f>B15*B21</f>
        <v/>
      </c>
      <c r="C22" s="5" t="inlineStr">
        <is>
          <t>Calculation</t>
        </is>
      </c>
    </row>
    <row r="23">
      <c r="A23" t="inlineStr">
        <is>
          <t>Ad-hoc: morbidity averted (maternal infections reduced)</t>
        </is>
      </c>
      <c r="B23" s="10" t="n">
        <v>0.15</v>
      </c>
      <c r="C23" s="5" t="inlineStr">
        <is>
          <t>A-PLUS also found RR 0.75 for maternal infection. Morbidity uplift for non-fatal infections averted.</t>
        </is>
      </c>
    </row>
    <row r="24">
      <c r="A24" t="inlineStr">
        <is>
          <t>Ad-hoc: reduced healthcare costs (facility readmissions averted)</t>
        </is>
      </c>
      <c r="B24" s="10" t="n">
        <v>0.05</v>
      </c>
      <c r="C24" s="5" t="inlineStr">
        <is>
          <t>Lancet CEA: 248.5 readmissions averted per 100k pregnancies. Small offset.</t>
        </is>
      </c>
    </row>
    <row r="25">
      <c r="A25" t="inlineStr">
        <is>
          <t>Total UoV from program</t>
        </is>
      </c>
      <c r="B25" s="8">
        <f>B22*(1+B23+B24)</f>
        <v/>
      </c>
      <c r="C25" s="5" t="inlineStr">
        <is>
          <t>Calculation</t>
        </is>
      </c>
    </row>
    <row r="26">
      <c r="A26" s="1" t="inlineStr"/>
      <c r="C26" s="5" t="n"/>
    </row>
    <row r="27">
      <c r="A27" s="1" t="inlineStr">
        <is>
          <t>Final CE</t>
        </is>
      </c>
      <c r="C27" s="5" t="n"/>
    </row>
    <row r="28">
      <c r="A28" t="inlineStr">
        <is>
          <t>Value per dollar spent on benchmark (GiveDirectly)</t>
        </is>
      </c>
      <c r="B28" t="n">
        <v>0.00344</v>
      </c>
      <c r="C28" s="5" t="n"/>
    </row>
    <row r="29">
      <c r="A29" t="inlineStr">
        <is>
          <t>CE (multiples of cash)</t>
        </is>
      </c>
      <c r="B29" s="11">
        <f>B25/B2/B28</f>
        <v/>
      </c>
      <c r="C29" s="5" t="inlineStr">
        <is>
          <t>Calculation</t>
        </is>
      </c>
    </row>
    <row r="30">
      <c r="A30" s="1" t="inlineStr"/>
      <c r="C30" s="5" t="n"/>
    </row>
    <row r="31">
      <c r="A31" s="1" t="inlineStr">
        <is>
          <t>Sensitivity (CE at different costs per pregnancy)</t>
        </is>
      </c>
      <c r="C31" s="5" t="n"/>
    </row>
    <row r="32">
      <c r="A32" t="inlineStr">
        <is>
          <t>CE at $1.50/pregnancy (drug + minimal integration)</t>
        </is>
      </c>
      <c r="B32" s="12">
        <f>(B9/100000*(1-B11)*B13*B14*B21*(1+B23+B24))/(1.5*B28)</f>
        <v/>
      </c>
      <c r="C32" s="5" t="inlineStr">
        <is>
          <t>Scenario: drug cost + very low integration overhead</t>
        </is>
      </c>
    </row>
    <row r="33">
      <c r="A33" t="inlineStr">
        <is>
          <t>CE at $3/pregnancy (best guess)</t>
        </is>
      </c>
      <c r="B33" s="12">
        <f>(B9/100000*(1-B11)*B13*B14*B21*(1+B23+B24))/(3*B28)</f>
        <v/>
      </c>
      <c r="C33" s="5" t="inlineStr">
        <is>
          <t>Scenario: moderate integration cost (= main BOTEC)</t>
        </is>
      </c>
    </row>
    <row r="34">
      <c r="A34" t="inlineStr">
        <is>
          <t>CE at $7/pregnancy (original QEA assumption)</t>
        </is>
      </c>
      <c r="B34" s="12">
        <f>(B9/100000*(1-B11)*B13*B14*B21*(1+B23+B24))/(7*B28)</f>
        <v/>
      </c>
      <c r="C34" s="5" t="inlineStr">
        <is>
          <t>Scenario: full original QEA cost assumption</t>
        </is>
      </c>
    </row>
    <row r="35">
      <c r="A35" t="inlineStr">
        <is>
          <t>CE at $3/pregnancy in Pakistan (MMR 124.7)</t>
        </is>
      </c>
      <c r="B35" s="12">
        <f>(124.7/100000*(1-B11)*B13*B14*B21*(1+B23+B24))/(3*B28)</f>
        <v/>
      </c>
      <c r="C35" s="5" t="inlineStr">
        <is>
          <t>Lower-MMR setting: Pakistan (from original BOTEC)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9" r:id="rId2"/>
    <hyperlink xmlns:r="http://schemas.openxmlformats.org/officeDocument/2006/relationships" ref="C11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2026-03-19T00:10:07Z</dcterms:created>
  <dcterms:modified xsi:type="dcterms:W3CDTF">2026-03-19T00:10:07Z</dcterms:modified>
</cp:coreProperties>
</file>