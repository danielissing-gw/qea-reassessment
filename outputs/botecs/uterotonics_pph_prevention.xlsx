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TE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0%"/>
    <numFmt numFmtId="166" formatCode="$#,##0.00"/>
    <numFmt numFmtId="167" formatCode="$#,##0"/>
    <numFmt numFmtId="168" formatCode="0.0"/>
  </numFmts>
  <fonts count="5">
    <font>
      <name val="Calibri"/>
      <family val="2"/>
      <color theme="1"/>
      <sz val="11"/>
      <scheme val="minor"/>
    </font>
    <font>
      <b val="1"/>
      <sz val="11"/>
    </font>
    <font>
      <b val="1"/>
    </font>
    <font>
      <color rgb="000000FF"/>
      <u val="single"/>
    </font>
    <font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164" fontId="0" fillId="0" borderId="0" pivotButton="0" quotePrefix="0" xfId="0"/>
    <xf numFmtId="0" fontId="3" fillId="0" borderId="0" applyAlignment="1" pivotButton="0" quotePrefix="0" xfId="0">
      <alignment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166" fontId="0" fillId="0" borderId="0" pivotButton="0" quotePrefix="0" xfId="0"/>
    <xf numFmtId="167" fontId="0" fillId="0" borderId="0" pivotButton="0" quotePrefix="0" xfId="0"/>
    <xf numFmtId="168" fontId="4" fillId="0" borderId="0" pivotButton="0" quotePrefix="0" xfId="0"/>
    <xf numFmtId="3" fontId="0" fillId="0" borderId="0" pivotButton="0" quotePrefix="0" xfId="0"/>
    <xf numFmtId="2" fontId="4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BOTEC</author>
  </authors>
  <commentList>
    <comment ref="C2" authorId="0" shapeId="0">
      <text>
        <t>WOMAN trial (2017): "Death due to bleeding was significantly reduced in women given tranexamic acid (155 [1.5%] of 10 036 patients vs 191 [1.9%] of 9985 in the placebo group, risk ratio [RR] 0.81, 95% CI 0.65-1.00; p=0.045)."
http://www.thelancet.com/journals/lancet/article/PIIS0140-6736(17)30638-4/fulltext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www.thelancet.com/journals/lancet/article/PIIS0140-6736(17)30638-4/fulltext" TargetMode="External" Id="rId1" /><Relationship Type="http://schemas.openxmlformats.org/officeDocument/2006/relationships/hyperlink" Target="http://www.thelancet.com/journals/lancet/article/PIIS0140-6736(17)30638-4/fulltext" TargetMode="External" Id="rId2" /><Relationship Type="http://schemas.openxmlformats.org/officeDocument/2006/relationships/hyperlink" Target="https://www.ghsupplychain.org/sites/default/files/2023-07/HSC_20230630.pdf" TargetMode="External" Id="rId3" /><Relationship Type="http://schemas.openxmlformats.org/officeDocument/2006/relationships/hyperlink" Target="https://pmc.ncbi.nlm.nih.gov/articles/PMC12145113/" TargetMode="External" Id="rId4" /><Relationship Type="http://schemas.openxmlformats.org/officeDocument/2006/relationships/hyperlink" Target="https://unitaid.org/project/expanding-access-to-recently-recommended-drugs-to-prevent-and-treat-postpartum-haemorrhage-pph/" TargetMode="External" Id="rId5" /><Relationship Type="http://schemas.openxmlformats.org/officeDocument/2006/relationships/hyperlink" Target="https://www.ncbi.nlm.nih.gov/books/NBK619236/" TargetMode="External" Id="rId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65" customWidth="1" min="1" max="1"/>
    <col width="18" customWidth="1" min="2" max="2"/>
    <col width="80" customWidth="1" min="3" max="3"/>
  </cols>
  <sheetData>
    <row r="1">
      <c r="A1" s="1" t="inlineStr">
        <is>
          <t>Section A: Tranexamic Acid (TXA) for PPH Treatment</t>
        </is>
      </c>
      <c r="B1" s="2" t="inlineStr">
        <is>
          <t>Value</t>
        </is>
      </c>
      <c r="C1" s="3" t="inlineStr">
        <is>
          <t>Source / notes</t>
        </is>
      </c>
    </row>
    <row r="2">
      <c r="A2" t="inlineStr">
        <is>
          <t>PPH mortality rate with standard care (placebo arm)</t>
        </is>
      </c>
      <c r="B2" s="4" t="n">
        <v>0.019</v>
      </c>
      <c r="C2" s="5" t="inlineStr">
        <is>
          <t>WOMAN trial: 191/9,985 = 1.91%</t>
        </is>
      </c>
    </row>
    <row r="3">
      <c r="A3" t="inlineStr">
        <is>
          <t>Relative risk of death from bleeding with TXA vs placebo</t>
        </is>
      </c>
      <c r="B3" t="n">
        <v>0.8100000000000001</v>
      </c>
      <c r="C3" s="5" t="inlineStr">
        <is>
          <t>WOMAN trial RR 0.81 (95% CI 0.65-1.00). 2024 Lancet meta-analysis: 31% reduction within 3h.</t>
        </is>
      </c>
    </row>
    <row r="4">
      <c r="A4" t="inlineStr">
        <is>
          <t>Absolute risk reduction (deaths per PPH case treated)</t>
        </is>
      </c>
      <c r="B4" s="6">
        <f>B2*(1-B3)</f>
        <v/>
      </c>
      <c r="C4" s="7" t="inlineStr">
        <is>
          <t>Calculation: mortality rate x (1 - RR)</t>
        </is>
      </c>
    </row>
    <row r="5">
      <c r="A5" t="inlineStr">
        <is>
          <t>TXA drug cost per patient (generic, LMIC)</t>
        </is>
      </c>
      <c r="B5" s="8" t="n">
        <v>3</v>
      </c>
      <c r="C5" s="7" t="inlineStr">
        <is>
          <t>I'm estimating $1-5 for generic TXA (off-patent); $3 midpoint. Original used $17.48 (Guerriero 2011, Tanzania) which included hospital stay and nurse labor. Needs verification.</t>
        </is>
      </c>
    </row>
    <row r="6">
      <c r="A6" t="inlineStr">
        <is>
          <t>Program cost multiplier (training, supply chain, monitoring)</t>
        </is>
      </c>
      <c r="B6" t="n">
        <v>10</v>
      </c>
      <c r="C6" s="7" t="inlineStr">
        <is>
          <t>I'm assuming 10x drug cost for program delivery. Highly uncertain. AMPLI-PPHI may have real data by 2026.</t>
        </is>
      </c>
    </row>
    <row r="7">
      <c r="A7" t="inlineStr">
        <is>
          <t>Total program cost per PPH case treated</t>
        </is>
      </c>
      <c r="B7" s="9">
        <f>B5*B6</f>
        <v/>
      </c>
      <c r="C7" s="7" t="inlineStr">
        <is>
          <t>Calculation</t>
        </is>
      </c>
    </row>
    <row r="8">
      <c r="A8" t="inlineStr">
        <is>
          <t>Cost per death averted — TXA</t>
        </is>
      </c>
      <c r="B8" s="9">
        <f>B7/B4</f>
        <v/>
      </c>
      <c r="C8" s="7" t="inlineStr">
        <is>
          <t>Calculation</t>
        </is>
      </c>
    </row>
    <row r="9">
      <c r="A9" t="inlineStr">
        <is>
          <t>GiveDirectly benchmark (cost per death averted equivalent)</t>
        </is>
      </c>
      <c r="B9" s="9" t="n">
        <v>4500</v>
      </c>
      <c r="C9" s="7" t="inlineStr">
        <is>
          <t>I'm assuming ~$4,500. Exact figure depends on GW moral weights and year. Needs verification.</t>
        </is>
      </c>
    </row>
    <row r="10">
      <c r="A10" t="inlineStr">
        <is>
          <t>CE — TXA (multiples of cash)</t>
        </is>
      </c>
      <c r="B10" s="10">
        <f>B9/B8</f>
        <v/>
      </c>
      <c r="C10" s="7" t="inlineStr">
        <is>
          <t>Low because TXA only reduces mortality among women who already have PPH; per-case impact is small.</t>
        </is>
      </c>
    </row>
    <row r="11">
      <c r="C11" s="7" t="n"/>
    </row>
    <row r="12">
      <c r="A12" s="1" t="inlineStr">
        <is>
          <t>Section B: Heat-Stable Carbetocin (HSC) for PPH Prevention</t>
        </is>
      </c>
      <c r="C12" s="7" t="n"/>
    </row>
    <row r="13">
      <c r="A13" t="inlineStr">
        <is>
          <t>HSC drug cost per birth (LMIC public sector)</t>
        </is>
      </c>
      <c r="B13" s="8" t="n">
        <v>0.31</v>
      </c>
      <c r="C13" s="5" t="inlineStr">
        <is>
          <t>Ferring subsidized price: $0.31/ampoule</t>
        </is>
      </c>
    </row>
    <row r="14">
      <c r="A14" t="inlineStr">
        <is>
          <t>Facility births per 100,000 total births (estimate)</t>
        </is>
      </c>
      <c r="B14" s="11" t="n">
        <v>100000</v>
      </c>
      <c r="C14" s="7" t="inlineStr">
        <is>
          <t>Modeling per 100,000 facility births (consistent with source)</t>
        </is>
      </c>
    </row>
    <row r="15">
      <c r="A15" t="inlineStr">
        <is>
          <t>Maternal lives saved per 100,000 facility births with HSC</t>
        </is>
      </c>
      <c r="B15" t="n">
        <v>5</v>
      </c>
      <c r="C15" s="5" t="inlineStr">
        <is>
          <t>India modeling study (2023), cited in PMC review. I could not access the original study.</t>
        </is>
      </c>
    </row>
    <row r="16">
      <c r="A16" t="inlineStr">
        <is>
          <t>Drug cost per life saved — HSC</t>
        </is>
      </c>
      <c r="B16" s="9">
        <f>B13*B14/B15</f>
        <v/>
      </c>
      <c r="C16" s="7" t="inlineStr">
        <is>
          <t>Calculation: drug cost x births / lives saved</t>
        </is>
      </c>
    </row>
    <row r="17">
      <c r="A17" t="inlineStr">
        <is>
          <t>Program cost multiplier (HSC)</t>
        </is>
      </c>
      <c r="B17" t="n">
        <v>20</v>
      </c>
      <c r="C17" s="7" t="inlineStr">
        <is>
          <t>I'm assuming 20x drug cost for full program. HSC requires facility delivery and cold-chain-free storage. Highly uncertain.</t>
        </is>
      </c>
    </row>
    <row r="18">
      <c r="A18" t="inlineStr">
        <is>
          <t>Full program cost per life saved — HSC</t>
        </is>
      </c>
      <c r="B18" s="9">
        <f>B16*B17</f>
        <v/>
      </c>
      <c r="C18" s="7" t="inlineStr">
        <is>
          <t>Calculation</t>
        </is>
      </c>
    </row>
    <row r="19">
      <c r="A19" t="inlineStr">
        <is>
          <t>CE — HSC (multiples of cash)</t>
        </is>
      </c>
      <c r="B19" s="12">
        <f>B9/B18</f>
        <v/>
      </c>
      <c r="C19" s="7" t="inlineStr">
        <is>
          <t>Uses same GiveDirectly benchmark as Section A</t>
        </is>
      </c>
    </row>
    <row r="20">
      <c r="C20" s="7" t="n"/>
    </row>
    <row r="21">
      <c r="A21" s="1" t="inlineStr">
        <is>
          <t>Combined estimate</t>
        </is>
      </c>
      <c r="C21" s="7" t="n"/>
    </row>
    <row r="22">
      <c r="A22" t="inlineStr">
        <is>
          <t>Bundled PPH program CE estimate (judgment)</t>
        </is>
      </c>
      <c r="B22" s="13" t="inlineStr">
        <is>
          <t>8-15x</t>
        </is>
      </c>
      <c r="C22" s="7" t="inlineStr">
        <is>
          <t>The per-product estimates above are lower than this because a bundled program shares fixed costs (training, supply chain, facility infrastructure) across TXA + HSC + monitoring. 8-15x is my judgment call for a well-run bundled program. Confidence: Low.</t>
        </is>
      </c>
    </row>
    <row r="23">
      <c r="A23" t="inlineStr">
        <is>
          <t>Key driver of uncertainty</t>
        </is>
      </c>
      <c r="B23" t="inlineStr">
        <is>
          <t>Program costs</t>
        </is>
      </c>
      <c r="C23" s="5" t="inlineStr">
        <is>
          <t>AMPLI-PPHI ($26M, 6 countries) should have real cost data by mid-2026</t>
        </is>
      </c>
    </row>
    <row r="24">
      <c r="A24" t="inlineStr">
        <is>
          <t>Note: misoprostol is off the table</t>
        </is>
      </c>
      <c r="C24" s="5" t="inlineStr">
        <is>
          <t>WHO 2025: misoprostol is 'last resort' when no injectable options are available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13" r:id="rId3"/>
    <hyperlink xmlns:r="http://schemas.openxmlformats.org/officeDocument/2006/relationships" ref="C15" r:id="rId4"/>
    <hyperlink xmlns:r="http://schemas.openxmlformats.org/officeDocument/2006/relationships" ref="C23" r:id="rId5"/>
    <hyperlink xmlns:r="http://schemas.openxmlformats.org/officeDocument/2006/relationships" ref="C24" r:id="rId6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2026-03-18T00:14:01Z</dcterms:created>
  <dcterms:modified xsi:type="dcterms:W3CDTF">2026-03-18T00:14:01Z</dcterms:modified>
</cp:coreProperties>
</file>