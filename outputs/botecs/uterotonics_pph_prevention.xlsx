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$#,##0.00"/>
    <numFmt numFmtId="166" formatCode="0.0"/>
    <numFmt numFmtId="167" formatCode="0.0%"/>
    <numFmt numFmtId="168" formatCode="0.0000%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</font>
    <font>
      <color rgb="000000FF"/>
      <u val="single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165" fontId="0" fillId="0" borderId="0" pivotButton="0" quotePrefix="0" xfId="0"/>
    <xf numFmtId="3" fontId="0" fillId="0" borderId="0" pivotButton="0" quotePrefix="0" xfId="0"/>
    <xf numFmtId="0" fontId="3" fillId="0" borderId="0" applyAlignment="1" pivotButton="0" quotePrefix="0" xfId="0">
      <alignment wrapText="1"/>
    </xf>
    <xf numFmtId="9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BOTEC</author>
  </authors>
  <commentList>
    <comment ref="C3" authorId="0" shapeId="0">
      <text>
        <t>Cost breakdown assumption:
  HSC drug: $0.31 (Ferring subsidized price)
  TXA drug (prorated): $3.00 x 6% PPH rate = $0.18
  Training increment: ~$0.70 (short module for existing facility staff)
  Supply chain: ~$0.35 (HSC is heat-stable; minimal cold chain)
  Monitoring/supervision: ~$0.35
Total: ~$1.89, rounded to $2.00.
This assumes facilities and birth attendants already exist.
For a standalone program (building facility capacity), costs would be much higher ($5-10/birth).</t>
      </text>
    </comment>
    <comment ref="C7" authorId="0" shapeId="0">
      <text>
        <t>From PMC review: "prevent about 5,500 additional PPH cases and save five maternal lives per 100,000 births when priced comparably to oxytocin."
https://pmc.ncbi.nlm.nih.gov/articles/PMC12145113/</t>
      </text>
    </comment>
    <comment ref="C16" authorId="0" shapeId="0">
      <text>
        <t>WOMAN trial (2017): "Death due to bleeding was significantly reduced in women given tranexamic acid (155 [1.5%] of 10 036 patients vs 191 [1.9%] of 9985 in the placebo group, risk ratio [RR] 0.81, 95% CI 0.65-1.00; p=0.045)."
http://www.thelancet.com/journals/lancet/article/PIIS0140-6736(17)30638-4/fulltext</t>
      </text>
    </comment>
    <comment ref="C17" authorId="0" shapeId="0">
      <text>
        <t>2024 Lancet IPD meta-analysis (54,404 women, 5 RCTs): "Life-threatening bleeding occurred in 178 (0.65%) of 27,300 women in the tranexamic acid group versus 230 (0.85%) of 27,093 women in the placebo group (pooled odds ratio [OR] 0.77 [95% CI 0.63-0.93]; p=0.008)."
Note: meta-analysis endpoint is composite (death + surgical interventions). WOMAN trial gives mortality-specific data; used as primary effect size.
https://www.thelancet.com/journals/lancet/article/PIIS0140-6736(24)02102-0/fulltext</t>
      </text>
    </comment>
    <comment ref="C38" authorId="0" shapeId="0">
      <text>
        <t>E-MOTIVE (Gallos et al., NEJM 2023): "A primary-outcome event occurred in 1.6% of the patients in the intervention group, as compared with 4.3% of those in the usual-care group (risk ratio, 0.40; 95% confidence interval [CI], 0.32 to 0.50; P&lt;0.001)." 210,132 women across 80 hospitals in Kenya, Nigeria, South Africa, and Tanzania.
https://www.nejm.org/doi/full/10.1056/NEJMoa2303966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mc.ncbi.nlm.nih.gov/articles/PMC12145113/" TargetMode="External" Id="rId1" /><Relationship Type="http://schemas.openxmlformats.org/officeDocument/2006/relationships/hyperlink" Target="http://www.thelancet.com/journals/lancet/article/PIIS0140-6736(17)30638-4/fulltext" TargetMode="External" Id="rId2" /><Relationship Type="http://schemas.openxmlformats.org/officeDocument/2006/relationships/hyperlink" Target="http://www.thelancet.com/journals/lancet/article/PIIS0140-6736(17)30638-4/fulltext" TargetMode="External" Id="rId3" /><Relationship Type="http://schemas.openxmlformats.org/officeDocument/2006/relationships/hyperlink" Target="https://www.nejm.org/doi/full/10.1056/NEJMoa2303966" TargetMode="External" Id="rId4" /><Relationship Type="http://schemas.openxmlformats.org/officeDocument/2006/relationships/hyperlink" Target="https://www.ncbi.nlm.nih.gov/books/NBK619236/" TargetMode="External" Id="rId5" /><Relationship Type="http://schemas.openxmlformats.org/officeDocument/2006/relationships/hyperlink" Target="https://unitaid.org/project/expanding-access-to-recently-recommended-drugs-to-prevent-and-treat-postpartum-haemorrhage-pph/" TargetMode="External" Id="rId6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80" customWidth="1" min="3" max="3"/>
  </cols>
  <sheetData>
    <row r="1">
      <c r="A1" s="1" t="inlineStr">
        <is>
          <t>Grant &amp; coverage</t>
        </is>
      </c>
      <c r="B1" s="2" t="inlineStr">
        <is>
          <t>Value</t>
        </is>
      </c>
      <c r="C1" s="3" t="inlineStr">
        <is>
          <t>Source / notes</t>
        </is>
      </c>
    </row>
    <row r="2">
      <c r="A2" t="inlineStr">
        <is>
          <t>Grant amount</t>
        </is>
      </c>
      <c r="B2" s="4" t="n">
        <v>1000000</v>
      </c>
      <c r="C2" s="5" t="inlineStr">
        <is>
          <t>Arbitrary anchor for calculation</t>
        </is>
      </c>
    </row>
    <row r="3">
      <c r="A3" t="inlineStr">
        <is>
          <t>Cost per facility birth (bundled PPH program)</t>
        </is>
      </c>
      <c r="B3" s="6" t="n">
        <v>2</v>
      </c>
      <c r="C3" s="5" t="inlineStr">
        <is>
          <t>I'm assuming $2/birth. Includes: HSC drug ($0.31), prorated TXA drug ($0.18), training increment ($0.70), supply chain ($0.35), monitoring ($0.35). Highly uncertain — at $1/birth CE roughly doubles; at $3/birth CE drops to ~2x. AMPLI-PPHI cost data (expected mid-2026) would resolve this.</t>
        </is>
      </c>
    </row>
    <row r="4">
      <c r="A4" t="inlineStr">
        <is>
          <t>Facility births covered by grant</t>
        </is>
      </c>
      <c r="B4" s="7">
        <f>B2/B3</f>
        <v/>
      </c>
      <c r="C4" s="5" t="inlineStr">
        <is>
          <t>Calculation</t>
        </is>
      </c>
    </row>
    <row r="5">
      <c r="C5" s="5" t="n"/>
    </row>
    <row r="6">
      <c r="A6" s="1" t="inlineStr">
        <is>
          <t>HSC prevention: deaths averted</t>
        </is>
      </c>
      <c r="C6" s="5" t="n"/>
    </row>
    <row r="7">
      <c r="A7" t="inlineStr">
        <is>
          <t>Maternal lives saved per 100,000 facility births with HSC</t>
        </is>
      </c>
      <c r="B7" t="n">
        <v>5</v>
      </c>
      <c r="C7" s="8" t="inlineStr">
        <is>
          <t>India modeling study (2023), cited in PMC review. Compares HSC to settings without reliable uterotonic (cold-chain failure). I could not access the original study.</t>
        </is>
      </c>
    </row>
    <row r="8">
      <c r="A8" t="inlineStr">
        <is>
          <t>IV adjustment (HSC)</t>
        </is>
      </c>
      <c r="B8" s="9" t="n">
        <v>0.85</v>
      </c>
      <c r="C8" s="5" t="inlineStr">
        <is>
          <t>Modeling study, not direct RCT in the target setting. Based on CHAMPION trial (HSC non-inferior to oxytocin) plus assumptions about cold-chain failure rates.</t>
        </is>
      </c>
    </row>
    <row r="9">
      <c r="A9" t="inlineStr">
        <is>
          <t>EV adjustment (HSC)</t>
        </is>
      </c>
      <c r="B9" s="9" t="n">
        <v>0.9</v>
      </c>
      <c r="C9" s="5" t="inlineStr">
        <is>
          <t>India model applied to broader LMIC settings. Cold-chain reliability varies across settings.</t>
        </is>
      </c>
    </row>
    <row r="10">
      <c r="A10" t="inlineStr">
        <is>
          <t>Adjusted lives saved per 100,000 births</t>
        </is>
      </c>
      <c r="B10" s="10">
        <f>B7*B8*B9</f>
        <v/>
      </c>
      <c r="C10" s="5" t="inlineStr">
        <is>
          <t>Calculation</t>
        </is>
      </c>
    </row>
    <row r="11">
      <c r="A11" t="inlineStr">
        <is>
          <t>Deaths averted from HSC</t>
        </is>
      </c>
      <c r="B11" s="11">
        <f>B4/100000*B10</f>
        <v/>
      </c>
      <c r="C11" s="5" t="inlineStr">
        <is>
          <t>Calculation</t>
        </is>
      </c>
    </row>
    <row r="12">
      <c r="C12" s="5" t="n"/>
    </row>
    <row r="13">
      <c r="A13" s="1" t="inlineStr">
        <is>
          <t>TXA treatment: deaths averted</t>
        </is>
      </c>
      <c r="C13" s="5" t="n"/>
    </row>
    <row r="14">
      <c r="A14" t="inlineStr">
        <is>
          <t>PPH rate among facility births</t>
        </is>
      </c>
      <c r="B14" s="9" t="n">
        <v>0.06</v>
      </c>
      <c r="C14" s="5" t="inlineStr">
        <is>
          <t>~6% is standard WHO estimate for PPH incidence (blood loss &gt;= 500ml after birth).</t>
        </is>
      </c>
    </row>
    <row r="15">
      <c r="A15" t="inlineStr">
        <is>
          <t>PPH cases from grant</t>
        </is>
      </c>
      <c r="B15" s="7">
        <f>B4*B14</f>
        <v/>
      </c>
      <c r="C15" s="5" t="inlineStr">
        <is>
          <t>Calculation</t>
        </is>
      </c>
    </row>
    <row r="16">
      <c r="A16" t="inlineStr">
        <is>
          <t>Mortality rate among PPH cases (standard care)</t>
        </is>
      </c>
      <c r="B16" s="12" t="n">
        <v>0.019</v>
      </c>
      <c r="C16" s="8" t="inlineStr">
        <is>
          <t>WOMAN trial placebo arm: 191/9,985 = 1.91%</t>
        </is>
      </c>
    </row>
    <row r="17">
      <c r="A17" t="inlineStr">
        <is>
          <t>Relative risk reduction from TXA (1 - RR)</t>
        </is>
      </c>
      <c r="B17" s="9" t="n">
        <v>0.19</v>
      </c>
      <c r="C17" s="8" t="inlineStr">
        <is>
          <t>WOMAN trial: RR 0.81 (95% CI 0.65-1.00) for death from bleeding. Using WOMAN trial as primary source for mortality. 2024 Lancet IPD meta-analysis (OR 0.77 for life-threatening bleeding composite) is confirmatory.</t>
        </is>
      </c>
    </row>
    <row r="18">
      <c r="A18" t="inlineStr">
        <is>
          <t>IV adjustment (TXA)</t>
        </is>
      </c>
      <c r="B18" s="9" t="n">
        <v>0.95</v>
      </c>
      <c r="C18" s="5" t="inlineStr">
        <is>
          <t>Large, high-quality multi-country RCT (WOMAN trial). Confirmed by 2024 IPD meta-analysis. Small discount for field vs. trial conditions.</t>
        </is>
      </c>
    </row>
    <row r="19">
      <c r="A19" t="inlineStr">
        <is>
          <t>EV adjustment (TXA)</t>
        </is>
      </c>
      <c r="B19" s="9" t="n">
        <v>0.85</v>
      </c>
      <c r="C19" s="5" t="inlineStr">
        <is>
          <t>WOMAN trial included LMIC sites, but TXA requires rapid PPH diagnosis and IV/IM administration within 3 hours. Effectiveness in field conditions may be lower than trial.</t>
        </is>
      </c>
    </row>
    <row r="20">
      <c r="A20" t="inlineStr">
        <is>
          <t>Adjusted deaths averted per PPH case treated</t>
        </is>
      </c>
      <c r="B20" s="13">
        <f>B16*B17*B18*B19</f>
        <v/>
      </c>
      <c r="C20" s="5" t="inlineStr">
        <is>
          <t>Calculation: CFR x RRR x IV x EV</t>
        </is>
      </c>
    </row>
    <row r="21">
      <c r="A21" t="inlineStr">
        <is>
          <t>Deaths averted from TXA</t>
        </is>
      </c>
      <c r="B21" s="11">
        <f>B15*B20</f>
        <v/>
      </c>
      <c r="C21" s="5" t="inlineStr">
        <is>
          <t>Calculation</t>
        </is>
      </c>
    </row>
    <row r="22">
      <c r="C22" s="5" t="n"/>
    </row>
    <row r="23">
      <c r="A23" s="1" t="inlineStr">
        <is>
          <t>Total benefits</t>
        </is>
      </c>
      <c r="C23" s="5" t="n"/>
    </row>
    <row r="24">
      <c r="A24" t="inlineStr">
        <is>
          <t>Total deaths averted (HSC + TXA)</t>
        </is>
      </c>
      <c r="B24" s="11">
        <f>B11+B21</f>
        <v/>
      </c>
      <c r="C24" s="5" t="inlineStr">
        <is>
          <t>Calculation. Slight overcount: HSC prevents some PPH, reducing TXA treatment pool. Effect is small (~10%).</t>
        </is>
      </c>
    </row>
    <row r="25">
      <c r="A25" t="inlineStr">
        <is>
          <t>UoV per maternal death averted (GW moral weights)</t>
        </is>
      </c>
      <c r="B25" t="n">
        <v>52.5</v>
      </c>
      <c r="C25" s="5" t="inlineStr">
        <is>
          <t>GiveWell standard moral weight for LMIC adult death. Maternal deaths are women aged 15-49.</t>
        </is>
      </c>
    </row>
    <row r="26">
      <c r="A26" t="inlineStr">
        <is>
          <t>UoV from mortality</t>
        </is>
      </c>
      <c r="B26" s="7">
        <f>B24*B25</f>
        <v/>
      </c>
      <c r="C26" s="5" t="inlineStr">
        <is>
          <t>Calculation</t>
        </is>
      </c>
    </row>
    <row r="27">
      <c r="A27" t="inlineStr">
        <is>
          <t>Morbidity uplift (% of mortality UoV)</t>
        </is>
      </c>
      <c r="B27" s="9" t="n">
        <v>0.75</v>
      </c>
      <c r="C27" s="5" t="inlineStr">
        <is>
          <t>I'm assuming +75%. PPH causes severe anemia, need for blood transfusion, surgical interventions (hysterectomy, laparotomy), and long-term disability. For every PPH death, many women survive with significant morbidity. Rough guess.</t>
        </is>
      </c>
    </row>
    <row r="28">
      <c r="A28" t="inlineStr">
        <is>
          <t>Treatment costs averted uplift (% of mortality UoV)</t>
        </is>
      </c>
      <c r="B28" s="9" t="n">
        <v>0.25</v>
      </c>
      <c r="C28" s="5" t="inlineStr">
        <is>
          <t>I'm assuming +25%. Blood transfusions are scarce and expensive in LMICs; surgical interventions carry high cost. Rough guess.</t>
        </is>
      </c>
    </row>
    <row r="29">
      <c r="A29" t="inlineStr">
        <is>
          <t>Total UoV from grant</t>
        </is>
      </c>
      <c r="B29" s="7">
        <f>B26*(1+B27+B28)</f>
        <v/>
      </c>
      <c r="C29" s="5" t="inlineStr">
        <is>
          <t>Calculation: mortality UoV x (1 + morbidity + treatment)</t>
        </is>
      </c>
    </row>
    <row r="30">
      <c r="C30" s="5" t="n"/>
    </row>
    <row r="31">
      <c r="A31" s="1" t="inlineStr">
        <is>
          <t>Final CE estimate</t>
        </is>
      </c>
      <c r="C31" s="5" t="n"/>
    </row>
    <row r="32">
      <c r="A32" t="inlineStr">
        <is>
          <t>UoV per $100,000 donated</t>
        </is>
      </c>
      <c r="B32" s="7">
        <f>B29/B2*100000</f>
        <v/>
      </c>
      <c r="C32" s="5" t="inlineStr">
        <is>
          <t>Calculation</t>
        </is>
      </c>
    </row>
    <row r="33">
      <c r="A33" t="inlineStr">
        <is>
          <t>GiveDirectly units of value per $100,000</t>
        </is>
      </c>
      <c r="B33" t="n">
        <v>344</v>
      </c>
      <c r="C33" s="5" t="inlineStr">
        <is>
          <t>GW benchmark (1x cash transfers)</t>
        </is>
      </c>
    </row>
    <row r="34">
      <c r="A34" t="inlineStr">
        <is>
          <t>Cost per death averted</t>
        </is>
      </c>
      <c r="B34" s="4">
        <f>B2/B24</f>
        <v/>
      </c>
      <c r="C34" s="5" t="inlineStr">
        <is>
          <t>Calculation (mortality only; morbidity benefits additional)</t>
        </is>
      </c>
    </row>
    <row r="35">
      <c r="A35" t="inlineStr">
        <is>
          <t>CE (multiples of cash)</t>
        </is>
      </c>
      <c r="B35" s="14">
        <f>B32/B33</f>
        <v/>
      </c>
      <c r="C35" s="5" t="inlineStr">
        <is>
          <t>Best-guess estimate. Highly sensitive to cost/birth: at $1/birth -&gt; ~6.5x; at $3/birth -&gt; ~2.2x. Confidence: Low.</t>
        </is>
      </c>
    </row>
    <row r="36">
      <c r="C36" s="5" t="n"/>
    </row>
    <row r="37">
      <c r="A37" s="1" t="inlineStr">
        <is>
          <t>Context &amp; notes</t>
        </is>
      </c>
      <c r="C37" s="5" t="n"/>
    </row>
    <row r="38">
      <c r="A38" t="inlineStr">
        <is>
          <t>E-MOTIVE trial (bundled detection + treatment)</t>
        </is>
      </c>
      <c r="C38" s="8" t="inlineStr">
        <is>
          <t>NEJM 2023: bundled PPH early detection + treatment reduced composite outcome (severe PPH, laparotomy, or death) by 60% (RR 0.40, 95% CI 0.32-0.50). Supports the bundled approach modeled above but uses a different intervention package.</t>
        </is>
      </c>
    </row>
    <row r="39">
      <c r="A39" t="inlineStr">
        <is>
          <t>Misoprostol: off the table</t>
        </is>
      </c>
      <c r="C39" s="8" t="inlineStr">
        <is>
          <t>WHO 2025: misoprostol is 'last resort' when no injectable options are available</t>
        </is>
      </c>
    </row>
    <row r="40">
      <c r="A40" t="inlineStr">
        <is>
          <t>Key cost data source</t>
        </is>
      </c>
      <c r="C40" s="8" t="inlineStr">
        <is>
          <t>AMPLI-PPHI ($26M, 6 countries, 2022-2026) is generating cost-effectiveness evidence. Results expected by mid-2026.</t>
        </is>
      </c>
    </row>
  </sheetData>
  <hyperlinks>
    <hyperlink xmlns:r="http://schemas.openxmlformats.org/officeDocument/2006/relationships" ref="C7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38" r:id="rId4"/>
    <hyperlink xmlns:r="http://schemas.openxmlformats.org/officeDocument/2006/relationships" ref="C39" r:id="rId5"/>
    <hyperlink xmlns:r="http://schemas.openxmlformats.org/officeDocument/2006/relationships" ref="C40" r:id="rId6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2026-03-18T18:37:17Z</dcterms:created>
  <dcterms:modified xsi:type="dcterms:W3CDTF">2026-03-18T18:37:17Z</dcterms:modified>
</cp:coreProperties>
</file>