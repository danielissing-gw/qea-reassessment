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60" customWidth="1" min="3" max="3"/>
  </cols>
  <sheetData>
    <row r="1">
      <c r="A1" s="1" t="inlineStr">
        <is>
          <t>Burden &amp; effect</t>
        </is>
      </c>
      <c r="B1" t="inlineStr">
        <is>
          <t>Value</t>
        </is>
      </c>
      <c r="C1" s="2" t="inlineStr">
        <is>
          <t>Source / notes</t>
        </is>
      </c>
    </row>
    <row r="2">
      <c r="A2" s="3" t="inlineStr">
        <is>
          <t>Counterfactual mortality rate among women with obstetric hemorrhage</t>
        </is>
      </c>
      <c r="B2" t="n">
        <v>0.016</v>
      </c>
      <c r="C2" s="2" t="inlineStr">
        <is>
          <t>RCT control group mortality 2.3% (Miller et al. 2013), adjusted down 31% for country-level maternal hemorrhage mortality reductions between 2010-2019 (GBD). Result: 1.6%.</t>
        </is>
      </c>
    </row>
    <row r="3">
      <c r="A3" s="3" t="inlineStr">
        <is>
          <t>Mortality reduction from NASG (pooled non-experimental)</t>
        </is>
      </c>
      <c r="B3" t="n">
        <v>0.48</v>
      </c>
      <c r="C3" s="2" t="inlineStr">
        <is>
          <t>Pooled RR 0.52 (95% CI 0.36-0.77) from random effects meta-analysis of 5 observational/pre-post studies (Pileggi-Castro et al. 2015 systematic review).</t>
        </is>
      </c>
    </row>
    <row r="4">
      <c r="A4" s="3" t="inlineStr">
        <is>
          <t>Internal validity (IV) adjustment</t>
        </is>
      </c>
      <c r="B4" t="n">
        <v>0.66</v>
      </c>
      <c r="C4" s="2" t="inlineStr">
        <is>
          <t>Evidence is mostly observational (4 pre/post + 1 fully observational study). One underpowered RCT (OR 0.36, NS). Potential confounding from differences in care quality between study phases. Original QEA applied 66%.</t>
        </is>
      </c>
    </row>
    <row r="5">
      <c r="A5" s="3" t="inlineStr">
        <is>
          <t>External validity (EV) adjustment</t>
        </is>
      </c>
      <c r="B5" t="n">
        <v>0.75</v>
      </c>
      <c r="C5" s="2" t="inlineStr">
        <is>
          <t>Implementation likely better quality in study settings than real-world. Scale-up data from Zimbabwe (90% usage) is encouraging. Original QEA applied 75%.</t>
        </is>
      </c>
    </row>
    <row r="6">
      <c r="A6" s="3" t="inlineStr">
        <is>
          <t>Combined IV/EV-adjusted mortality reduction</t>
        </is>
      </c>
      <c r="B6">
        <f>B2*B4*B5</f>
        <v/>
      </c>
      <c r="C6" s="2" t="inlineStr">
        <is>
          <t>Calculation: 48% × 66% × 75% = ~24%</t>
        </is>
      </c>
    </row>
    <row r="7">
      <c r="A7" s="3" t="inlineStr">
        <is>
          <t>Deaths averted per woman treated</t>
        </is>
      </c>
      <c r="B7">
        <f>B2*B6</f>
        <v/>
      </c>
      <c r="C7" s="2" t="inlineStr">
        <is>
          <t>Calculation: 1.6% mortality × 24% adjusted reduction = ~0.38%</t>
        </is>
      </c>
    </row>
    <row r="8">
      <c r="A8" s="3" t="inlineStr"/>
    </row>
    <row r="9">
      <c r="A9" s="1" t="inlineStr">
        <is>
          <t>Mortality benefit</t>
        </is>
      </c>
    </row>
    <row r="10">
      <c r="A10" s="3" t="inlineStr">
        <is>
          <t>Units of value per maternal death averted (GW moral weights)</t>
        </is>
      </c>
      <c r="B10" t="n">
        <v>109.5</v>
      </c>
      <c r="C10" s="2" t="inlineStr">
        <is>
          <t>GiveWell moral weights for adult female death at average age 27-30. Used in original BOTEC.</t>
        </is>
      </c>
    </row>
    <row r="11">
      <c r="A11" s="3" t="inlineStr">
        <is>
          <t>UoV from mortality per woman treated</t>
        </is>
      </c>
      <c r="B11">
        <f>B7*B10</f>
        <v/>
      </c>
      <c r="C11" s="2" t="inlineStr">
        <is>
          <t>Calculation</t>
        </is>
      </c>
    </row>
    <row r="12">
      <c r="A12" s="3" t="inlineStr"/>
    </row>
    <row r="13">
      <c r="A13" s="1" t="inlineStr">
        <is>
          <t>Ad-hoc benefit adjustments (subjective)</t>
        </is>
      </c>
    </row>
    <row r="14">
      <c r="A14" s="3" t="inlineStr">
        <is>
          <t>Morbidity uplift (% of mortality UoV)</t>
        </is>
      </c>
      <c r="B14" t="n">
        <v>0.15</v>
      </c>
      <c r="C14" s="2" t="inlineStr">
        <is>
          <t>I'm assuming +15%. NASG reduces severe anemia at discharge and speeds recovery from shock (165 min vs 209 min in RCT). Also reduces need for emergency hysterectomy. Rough guess.</t>
        </is>
      </c>
    </row>
    <row r="15">
      <c r="A15" s="3" t="inlineStr">
        <is>
          <t>Infant mortality uplift (% of mortality UoV)</t>
        </is>
      </c>
      <c r="B15" t="n">
        <v>0.1</v>
      </c>
      <c r="C15" s="2" t="inlineStr">
        <is>
          <t>I'm assuming +10%. Maternal death during/after delivery substantially increases infant mortality. Observational evidence suggests 4-25x higher infant mortality when mothers die. This is a rough guess — not formally modeled.</t>
        </is>
      </c>
    </row>
    <row r="16">
      <c r="A16" s="3" t="inlineStr">
        <is>
          <t>Total UoV per woman treated (with adjustments)</t>
        </is>
      </c>
      <c r="B16">
        <f>B11*(1+B14+B15)</f>
        <v/>
      </c>
      <c r="C16" s="2" t="inlineStr">
        <is>
          <t>Calculation: mortality UoV × (1 + morbidity + infant)</t>
        </is>
      </c>
    </row>
    <row r="17">
      <c r="A17" s="3" t="inlineStr"/>
    </row>
    <row r="18">
      <c r="A18" s="1" t="inlineStr">
        <is>
          <t>Costs</t>
        </is>
      </c>
    </row>
    <row r="19">
      <c r="A19" s="3" t="inlineStr">
        <is>
          <t>Grant size ($)</t>
        </is>
      </c>
      <c r="B19" t="n">
        <v>1000000</v>
      </c>
      <c r="C19" s="2" t="inlineStr">
        <is>
          <t>Standard GW hypothetical grant</t>
        </is>
      </c>
    </row>
    <row r="20">
      <c r="A20" s="3" t="inlineStr">
        <is>
          <t>Cost per woman treated — best guess ($)</t>
        </is>
      </c>
      <c r="B20" t="n">
        <v>12</v>
      </c>
      <c r="C20" s="2" t="inlineStr">
        <is>
          <t>I'm assuming $12 as midpoint. Device cost ~$1/use (amortized over 72 uses). Training ~$1.62/use. Additional logistics, supervision, return-and-exchange system. Original QEA guessed $8; CHAI Zimbabwe suggests higher total costs when including broader programmatic activities.</t>
        </is>
      </c>
    </row>
    <row r="21">
      <c r="A21" s="3" t="inlineStr">
        <is>
          <t>Women with obstetric hemorrhage treated</t>
        </is>
      </c>
      <c r="B21">
        <f>B19/B20</f>
        <v/>
      </c>
      <c r="C21" s="2" t="inlineStr">
        <is>
          <t>Calculation</t>
        </is>
      </c>
    </row>
    <row r="22">
      <c r="A22" s="3" t="inlineStr"/>
    </row>
    <row r="23">
      <c r="A23" s="1" t="inlineStr">
        <is>
          <t>Results</t>
        </is>
      </c>
    </row>
    <row r="24">
      <c r="A24" s="3" t="inlineStr">
        <is>
          <t>Deaths averted (adjusted)</t>
        </is>
      </c>
      <c r="B24">
        <f>B21*B7</f>
        <v/>
      </c>
      <c r="C24" s="2" t="inlineStr">
        <is>
          <t>Calculation</t>
        </is>
      </c>
    </row>
    <row r="25">
      <c r="A25" s="3" t="inlineStr">
        <is>
          <t>Total UoV from grant</t>
        </is>
      </c>
      <c r="B25">
        <f>B21*B16</f>
        <v/>
      </c>
      <c r="C25" s="2" t="inlineStr">
        <is>
          <t>Calculation</t>
        </is>
      </c>
    </row>
    <row r="26">
      <c r="A26" s="3" t="inlineStr">
        <is>
          <t>GiveWell benchmark (UoV per $ spent)</t>
        </is>
      </c>
      <c r="B26" t="n">
        <v>0.00344</v>
      </c>
      <c r="C26" s="2" t="inlineStr">
        <is>
          <t>1x cash = 0.003355 UoV/$ (from CE bar of 8x). I'm using 0.00344 as approximate benchmark.</t>
        </is>
      </c>
    </row>
    <row r="27">
      <c r="A27" s="3" t="inlineStr">
        <is>
          <t>CE as multiples of GiveDirectly</t>
        </is>
      </c>
      <c r="B27">
        <f>B25/(B19*B26)</f>
        <v/>
      </c>
      <c r="C27" s="2" t="inlineStr">
        <is>
          <t>Calculation</t>
        </is>
      </c>
    </row>
    <row r="28">
      <c r="A28" s="3" t="inlineStr"/>
    </row>
    <row r="29">
      <c r="A29" s="1" t="inlineStr">
        <is>
          <t>Sensitivity analysis</t>
        </is>
      </c>
    </row>
    <row r="30">
      <c r="A30" s="3" t="inlineStr">
        <is>
          <t>CE at $8/woman (optimistic)</t>
        </is>
      </c>
      <c r="B30">
        <f>(B19/$8)*B16/(B19*B26)</f>
        <v/>
      </c>
      <c r="C30" s="2" t="inlineStr">
        <is>
          <t>If original guess of $8/woman is correct</t>
        </is>
      </c>
    </row>
    <row r="31">
      <c r="A31" s="3" t="inlineStr">
        <is>
          <t>CE at $12/woman (best guess)</t>
        </is>
      </c>
      <c r="B31">
        <f>B27</f>
        <v/>
      </c>
      <c r="C31" s="2" t="inlineStr">
        <is>
          <t>Same as main estimate</t>
        </is>
      </c>
    </row>
    <row r="32">
      <c r="A32" s="3" t="inlineStr">
        <is>
          <t>CE at $25/woman (conservative)</t>
        </is>
      </c>
      <c r="B32">
        <f>(B19/$25)*B16/(B19*B26)</f>
        <v/>
      </c>
      <c r="C32" s="2" t="inlineStr">
        <is>
          <t>If programmatic costs are substantially higher than device + training costs alone</t>
        </is>
      </c>
    </row>
    <row r="33">
      <c r="A33" s="3" t="inlineStr">
        <is>
          <t>CE at $50/woman (pessimistic — full treatment cost)</t>
        </is>
      </c>
      <c r="B33">
        <f>(B19/$50)*B16/(B19*B26)</f>
        <v/>
      </c>
      <c r="C33" s="2" t="inlineStr">
        <is>
          <t>Original BOTEC noted mean treatment cost of $54.56/woman across both RCT groups (including blood transfusion, uterotonics). This would represent NASG as part of full hemorrhage treatment, not incremental NASG cost.</t>
        </is>
      </c>
    </row>
    <row r="34">
      <c r="A34" s="3" t="inlineStr"/>
    </row>
    <row r="35">
      <c r="A35" s="1" t="inlineStr">
        <is>
          <t>Key assumptions and caveats</t>
        </is>
      </c>
    </row>
    <row r="36">
      <c r="A36" s="3" t="inlineStr">
        <is>
          <t>1. Mortality rate uses RCT control group</t>
        </is>
      </c>
      <c r="C36" s="2" t="inlineStr">
        <is>
          <t>The 1.6% counterfactual mortality is based on the RCT control group in Zambia/Zimbabwe, adjusted for time trends. Actual mortality among hemorrhaging women varies substantially by setting (higher in Nigeria, lower in India).</t>
        </is>
      </c>
    </row>
    <row r="37">
      <c r="A37" s="3" t="inlineStr">
        <is>
          <t>2. NASG reaches all hemorrhaging women at facilities</t>
        </is>
      </c>
      <c r="C37" s="2" t="inlineStr">
        <is>
          <t>BOTEC assumes 100% coverage of women with obstetric hemorrhage at participating facilities. Zimbabwe pilot achieved 90%. Women hemorrhaging before facility arrival are not covered.</t>
        </is>
      </c>
    </row>
    <row r="38">
      <c r="A38" s="3" t="inlineStr">
        <is>
          <t>3. Evidence is observational</t>
        </is>
      </c>
      <c r="C38" s="2" t="inlineStr">
        <is>
          <t>The pooled RR 0.52 comes from non-experimental studies. The 50% IV/EV adjustment attempts to account for this, but the true effect is uncertain. The RCT point estimate (OR 0.36) is actually larger but is not significant (n=15 deaths).</t>
        </is>
      </c>
    </row>
    <row r="39">
      <c r="A39" s="3" t="inlineStr">
        <is>
          <t>4. Cost per woman excludes ART-like ongoing costs</t>
        </is>
      </c>
      <c r="C39" s="2" t="inlineStr">
        <is>
          <t>Unlike HIV interventions, NASG is a one-time device application with no ongoing treatment costs. The garment itself is reusable. This makes the cost-effectiveness calculation simpler but the upfront cost ($57-100/garment) must be amortized over actual (not theoretical) reuses.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2026-03-19T00:10:41Z</dcterms:created>
  <dcterms:modified xsi:type="dcterms:W3CDTF">2026-03-19T00:10:41Z</dcterms:modified>
</cp:coreProperties>
</file>