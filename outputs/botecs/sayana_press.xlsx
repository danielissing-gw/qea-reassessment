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color rgb="000000FF"/>
      <u val="single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0" fontId="3" fillId="0" borderId="0" applyAlignment="1" pivotButton="0" quotePrefix="0" xfId="0">
      <alignment wrapText="1"/>
    </xf>
    <xf numFmtId="3" fontId="0" fillId="0" borderId="0" pivotButton="0" quotePrefix="0" xfId="0"/>
    <xf numFmtId="9" fontId="0" fillId="0" borderId="0" pivotButton="0" quotePrefix="0" xfId="0"/>
    <xf numFmtId="166" fontId="4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BOTEC</author>
  </authors>
  <commentList>
    <comment ref="C3" authorId="0" shapeId="0">
      <text>
        <t>Under a novel pricing agreement negotiated by Pfizer Inc., the Bill &amp; Melinda Gates Foundation, and the Children's Investment Fund Foundation (CIFF) in 2014, qualified purchasers in the world's poorest 69 countries can obtain Sayana Press for US$1 per dose.</t>
      </text>
    </comment>
    <comment ref="C6" authorId="0" shapeId="0">
      <text>
        <t>Original source: Singh and Darroch 2012, Table 3: injectable annualised cost for Africa = $9.14 (including commodity, supplies, and labour). With self-injection, delivery costs should be lower as no health worker needed at each injection. $8 assumes training, supply chain, and minimal demand generation. THIS IS AN ASSUMPTION I HAVE NOT VERIFIED against actual self-injection program budgets.</t>
      </text>
    </comment>
    <comment ref="C10" authorId="0" shapeId="0">
      <text>
        <t>GiveWell estimates that providing one year of modern contraception in low- and middle-income countries generates approximately 0.7 units of value (with a 25th-75th percentile range of 0.3-1.1 units). This encompasses: improved health for women/children (~0.2 UoV), increased earnings for women (~0.1 UoV), increased resources for existing children (~0.2 UoV), and improved subjective well-being (~0.2 UoV).</t>
      </text>
    </comment>
    <comment ref="C14" authorId="0" shapeId="0">
      <text>
        <t>Meta-analysis of three RCTs found self-injection increases 12-month continuation by 27% (RR 1.27, 95% CI 1.16-1.39). However, GW's 0.7 UoV estimate is for a generic year of modern contraception. Self-injection's higher continuation could mean effective coverage is higher than 1 woman-year per woman-year purchased. I am NOT applying an uplift here to avoid double-counting, but note this is conservative.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ath.org/our-impact/articles/dmpa-sc/" TargetMode="External" Id="rId1" /><Relationship Type="http://schemas.openxmlformats.org/officeDocument/2006/relationships/hyperlink" Target="https://www.givewell.org/how-we-work/our-criteria/cost-effectiveness/valuing-contraception" TargetMode="External" Id="rId2" /><Relationship Type="http://schemas.openxmlformats.org/officeDocument/2006/relationships/hyperlink" Target="https://www.givewell.org/how-we-work/our-criteria/cost-effectiveness/valuing-contraception" TargetMode="External" Id="rId3" /><Relationship Type="http://schemas.openxmlformats.org/officeDocument/2006/relationships/hyperlink" Target="https://www.givewell.org/how-we-work/our-criteria/cost-effectiveness/valuing-contraception" TargetMode="External" Id="rId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80" customWidth="1" min="3" max="3"/>
  </cols>
  <sheetData>
    <row r="1">
      <c r="A1" s="1" t="inlineStr">
        <is>
          <t>Costs</t>
        </is>
      </c>
      <c r="B1" s="2" t="inlineStr">
        <is>
          <t>Value</t>
        </is>
      </c>
      <c r="C1" s="3" t="inlineStr">
        <is>
          <t>Source / notes</t>
        </is>
      </c>
    </row>
    <row r="2">
      <c r="A2" t="inlineStr">
        <is>
          <t>Grant amount</t>
        </is>
      </c>
      <c r="B2" s="4" t="n">
        <v>1000000</v>
      </c>
      <c r="C2" s="5" t="inlineStr">
        <is>
          <t>Arbitrary anchor</t>
        </is>
      </c>
    </row>
    <row r="3">
      <c r="A3" t="inlineStr">
        <is>
          <t>Commodity cost per dose (Sayana Press)</t>
        </is>
      </c>
      <c r="B3" s="6" t="n">
        <v>1</v>
      </c>
      <c r="C3" s="7" t="inlineStr">
        <is>
          <t>Pfizer/Gates/CIFF agreement: $1/dose for 69 poorest countries</t>
        </is>
      </c>
    </row>
    <row r="4">
      <c r="A4" t="inlineStr">
        <is>
          <t>Doses per year</t>
        </is>
      </c>
      <c r="B4" t="n">
        <v>4</v>
      </c>
      <c r="C4" s="5" t="inlineStr">
        <is>
          <t>Quarterly injection (every 3 months)</t>
        </is>
      </c>
    </row>
    <row r="5">
      <c r="A5" t="inlineStr">
        <is>
          <t>Commodity cost per woman-year</t>
        </is>
      </c>
      <c r="B5" s="6">
        <f>B3*B4</f>
        <v/>
      </c>
      <c r="C5" s="5" t="inlineStr">
        <is>
          <t>Calculation</t>
        </is>
      </c>
    </row>
    <row r="6">
      <c r="A6" t="inlineStr">
        <is>
          <t>Delivery cost per woman-year (self-injection program)</t>
        </is>
      </c>
      <c r="B6" s="6" t="n">
        <v>8</v>
      </c>
      <c r="C6" s="5" t="inlineStr">
        <is>
          <t>Estimate; original Guttmacher 2012 total was $9.14/year (incl. commodity)</t>
        </is>
      </c>
    </row>
    <row r="7">
      <c r="A7" t="inlineStr">
        <is>
          <t>Total cost per woman-year of contraception</t>
        </is>
      </c>
      <c r="B7" s="6">
        <f>B5+B6</f>
        <v/>
      </c>
      <c r="C7" s="5" t="inlineStr">
        <is>
          <t>Calculation</t>
        </is>
      </c>
    </row>
    <row r="8">
      <c r="A8" t="inlineStr">
        <is>
          <t>Woman-years of contraception provided by grant</t>
        </is>
      </c>
      <c r="B8" s="8">
        <f>B2/B7</f>
        <v/>
      </c>
      <c r="C8" s="5" t="inlineStr">
        <is>
          <t>Calculation</t>
        </is>
      </c>
    </row>
    <row r="9">
      <c r="A9" s="1" t="inlineStr">
        <is>
          <t>Benefits (GW contraception valuation)</t>
        </is>
      </c>
      <c r="C9" s="5" t="n"/>
    </row>
    <row r="10">
      <c r="A10" t="inlineStr">
        <is>
          <t>UoV per woman-year of modern contraception (GW estimate)</t>
        </is>
      </c>
      <c r="B10" t="n">
        <v>0.7</v>
      </c>
      <c r="C10" s="7" t="inlineStr">
        <is>
          <t>GW April 2025 contraception valuation</t>
        </is>
      </c>
    </row>
    <row r="11">
      <c r="A11" t="inlineStr">
        <is>
          <t>UoV per woman-year (low estimate, 25th percentile)</t>
        </is>
      </c>
      <c r="B11" t="n">
        <v>0.3</v>
      </c>
      <c r="C11" s="7" t="inlineStr">
        <is>
          <t>GW April 2025 contraception valuation</t>
        </is>
      </c>
    </row>
    <row r="12">
      <c r="A12" t="inlineStr">
        <is>
          <t>UoV per woman-year (high estimate, 75th percentile)</t>
        </is>
      </c>
      <c r="B12" t="n">
        <v>1.1</v>
      </c>
      <c r="C12" s="7" t="inlineStr">
        <is>
          <t>GW April 2025 contraception valuation</t>
        </is>
      </c>
    </row>
    <row r="13">
      <c r="A13" s="1" t="inlineStr">
        <is>
          <t>Adjustments</t>
        </is>
      </c>
      <c r="C13" s="5" t="n"/>
    </row>
    <row r="14">
      <c r="A14" t="inlineStr">
        <is>
          <t>Self-injection continuation rate uplift</t>
        </is>
      </c>
      <c r="B14" s="9" t="n">
        <v>1</v>
      </c>
      <c r="C14" s="5" t="inlineStr">
        <is>
          <t>Meta-analysis: RR 1.27 for 12-month continuation. Already partially captured in GW's UoV estimate; not double-counting.</t>
        </is>
      </c>
    </row>
    <row r="15">
      <c r="A15" t="inlineStr">
        <is>
          <t>IV adjustment</t>
        </is>
      </c>
      <c r="B15" s="9" t="n">
        <v>1</v>
      </c>
      <c r="C15" s="5" t="inlineStr">
        <is>
          <t>No IV adjustment: GW's valuation already incorporates evidence quality</t>
        </is>
      </c>
    </row>
    <row r="16">
      <c r="A16" t="inlineStr">
        <is>
          <t>EV adjustment</t>
        </is>
      </c>
      <c r="B16" s="9" t="n">
        <v>1</v>
      </c>
      <c r="C16" s="5" t="inlineStr">
        <is>
          <t>No EV adjustment: GW's valuation is for LMICs broadly, matching target context</t>
        </is>
      </c>
    </row>
    <row r="17">
      <c r="A17" s="1" t="inlineStr">
        <is>
          <t>Total benefits</t>
        </is>
      </c>
      <c r="C17" s="5" t="n"/>
    </row>
    <row r="18">
      <c r="A18" t="inlineStr">
        <is>
          <t>Total UoV generated (best guess)</t>
        </is>
      </c>
      <c r="B18" s="8">
        <f>B8*B10*B14*B15*B16</f>
        <v/>
      </c>
      <c r="C18" s="5" t="inlineStr">
        <is>
          <t>Calculation</t>
        </is>
      </c>
    </row>
    <row r="19">
      <c r="A19" t="inlineStr">
        <is>
          <t>Total UoV generated (low)</t>
        </is>
      </c>
      <c r="B19" s="8">
        <f>B8*B11*B14*B15*B16</f>
        <v/>
      </c>
      <c r="C19" s="5" t="inlineStr">
        <is>
          <t>Calculation (25th percentile UoV)</t>
        </is>
      </c>
    </row>
    <row r="20">
      <c r="A20" t="inlineStr">
        <is>
          <t>Total UoV generated (high)</t>
        </is>
      </c>
      <c r="B20" s="8">
        <f>B8*B12*B14*B15*B16</f>
        <v/>
      </c>
      <c r="C20" s="5" t="inlineStr">
        <is>
          <t>Calculation (75th percentile UoV)</t>
        </is>
      </c>
    </row>
    <row r="21">
      <c r="A21" s="1" t="inlineStr">
        <is>
          <t>Final CE</t>
        </is>
      </c>
      <c r="C21" s="5" t="n"/>
    </row>
    <row r="22">
      <c r="A22" t="inlineStr">
        <is>
          <t>GW benchmark (UoV per dollar at 1x)</t>
        </is>
      </c>
      <c r="B22" t="n">
        <v>0.003355</v>
      </c>
      <c r="C22" s="5" t="inlineStr">
        <is>
          <t>0.003355 UoV/$ = 1x cash transfers (344 UoV per $100k)</t>
        </is>
      </c>
    </row>
    <row r="23">
      <c r="A23" t="inlineStr">
        <is>
          <t>CE (best guess)</t>
        </is>
      </c>
      <c r="B23" s="10">
        <f>B18/B2/B22</f>
        <v/>
      </c>
      <c r="C23" s="5" t="inlineStr">
        <is>
          <t>Calculation: total UoV / grant / benchmark</t>
        </is>
      </c>
    </row>
    <row r="24">
      <c r="A24" t="inlineStr">
        <is>
          <t>CE (low)</t>
        </is>
      </c>
      <c r="B24" s="11">
        <f>B19/B2/B22</f>
        <v/>
      </c>
      <c r="C24" s="5" t="inlineStr">
        <is>
          <t>Calculation (25th percentile)</t>
        </is>
      </c>
    </row>
    <row r="25">
      <c r="A25" t="inlineStr">
        <is>
          <t>CE (high)</t>
        </is>
      </c>
      <c r="B25" s="11">
        <f>B20/B2/B22</f>
        <v/>
      </c>
      <c r="C25" s="5" t="inlineStr">
        <is>
          <t>Calculation (75th percentile)</t>
        </is>
      </c>
    </row>
    <row r="26">
      <c r="C26" s="5" t="n"/>
    </row>
    <row r="27">
      <c r="A27" s="1" t="inlineStr">
        <is>
          <t>Sensitivity: CE at different costs per woman-year</t>
        </is>
      </c>
      <c r="C27" s="5" t="n"/>
    </row>
    <row r="28">
      <c r="A28" t="inlineStr">
        <is>
          <t>CE at $6/woman-year (lean self-injection)</t>
        </is>
      </c>
      <c r="B28" s="11">
        <f>B2/$6*B10/B2/B22</f>
        <v/>
      </c>
      <c r="C28" s="5" t="n"/>
    </row>
    <row r="29">
      <c r="A29" t="inlineStr">
        <is>
          <t>CE at $12/woman-year (moderate self-injection)</t>
        </is>
      </c>
      <c r="B29" s="11">
        <f>B2/B7*B10/B2/B22</f>
        <v/>
      </c>
      <c r="C29" s="5" t="n"/>
    </row>
    <row r="30">
      <c r="A30" t="inlineStr">
        <is>
          <t>CE at $20/woman-year (provider-administered + demand gen)</t>
        </is>
      </c>
      <c r="B30" s="11">
        <f>B2/$20*B10/B2/B22</f>
        <v/>
      </c>
      <c r="C30" s="5" t="n"/>
    </row>
    <row r="31">
      <c r="A31" t="inlineStr">
        <is>
          <t>CE at $30/woman-year (comprehensive program)</t>
        </is>
      </c>
      <c r="B31" s="11">
        <f>B2/$30*B10/B2/B22</f>
        <v/>
      </c>
      <c r="C31" s="5" t="n"/>
    </row>
  </sheetData>
  <hyperlinks>
    <hyperlink xmlns:r="http://schemas.openxmlformats.org/officeDocument/2006/relationships" ref="C3" r:id="rId1"/>
    <hyperlink xmlns:r="http://schemas.openxmlformats.org/officeDocument/2006/relationships" ref="C10" r:id="rId2"/>
    <hyperlink xmlns:r="http://schemas.openxmlformats.org/officeDocument/2006/relationships" ref="C11" r:id="rId3"/>
    <hyperlink xmlns:r="http://schemas.openxmlformats.org/officeDocument/2006/relationships" ref="C12" r:id="rId4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2026-03-19T00:10:41Z</dcterms:created>
  <dcterms:modified xsi:type="dcterms:W3CDTF">2026-03-19T00:10:41Z</dcterms:modified>
</cp:coreProperties>
</file>