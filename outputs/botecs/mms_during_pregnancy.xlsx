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TEC" sheetId="1" state="visible" r:id="rId1"/>
  </sheets>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
  </numFmts>
  <fonts count="5">
    <font>
      <name val="Calibri"/>
      <family val="2"/>
      <color theme="1"/>
      <sz val="11"/>
      <scheme val="minor"/>
    </font>
    <font>
      <b val="1"/>
      <sz val="11"/>
    </font>
    <font>
      <b val="1"/>
    </font>
    <font>
      <color rgb="000000FF"/>
      <u val="single"/>
    </font>
    <font>
      <b val="1"/>
      <sz val="12"/>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164" fontId="0" fillId="0" borderId="0" pivotButton="0" quotePrefix="0" xfId="0"/>
    <xf numFmtId="0" fontId="0" fillId="0" borderId="0" applyAlignment="1" pivotButton="0" quotePrefix="0" xfId="0">
      <alignment wrapText="1"/>
    </xf>
    <xf numFmtId="165" fontId="0" fillId="0" borderId="0" pivotButton="0" quotePrefix="0" xfId="0"/>
    <xf numFmtId="0" fontId="3" fillId="0" borderId="0" applyAlignment="1" pivotButton="0" quotePrefix="0" xfId="0">
      <alignment wrapText="1"/>
    </xf>
    <xf numFmtId="3" fontId="0" fillId="0" borderId="0" pivotButton="0" quotePrefix="0" xfId="0"/>
    <xf numFmtId="9" fontId="0" fillId="0" borderId="0" pivotButton="0" quotePrefix="0" xfId="0"/>
    <xf numFmtId="166" fontId="4"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BOTEC</author>
  </authors>
  <commentList>
    <comment ref="C3" authorId="0" shapeId="0">
      <text>
        <t>UNIMMAP MMS is produced at $0.0118 per dose or $2.13 per woman per pregnancy when packaged in a 180-count bottle.</t>
      </text>
    </comment>
    <comment ref="C4" authorId="0" shapeId="0">
      <text>
        <t>IFA costs vary by source. UNICEF Supply Catalogue lists various formulations in the range of $0.005-0.015/tablet. Using $0.01/tablet x 180 = $1.80 as a reasonable estimate. The original BOTEC used an incremental cost of $0.004878/tablet from Adams et al. 2019 academic CEA.</t>
      </text>
    </comment>
    <comment ref="C6" authorId="0" shapeId="0">
      <text>
        <t>The original BOTEC used $3/person for "Programmatic costs of transition/TA per person, tablet waste, etc." and labeled it a guess. Kirk Humanitarian has now scaled MMS to 75M women in 111 LMICs, suggesting transition costs may be lower than feared. I am reducing from $3 to $2.67 but note this is still an assumption I have not verified against actual program cost data.</t>
      </text>
    </comment>
    <comment ref="C11" authorId="0" shapeId="0">
      <text>
        <t>From original BOTEC, sourced to WHO Global Health Observatory data. South Asia is the region with the highest rates of LBW, making it the natural target for this intervention.</t>
      </text>
    </comment>
    <comment ref="C12" authorId="0" shapeId="0">
      <text>
        <t>"MMN reduced the number of newborn infants identified as low birthweight (LBW) (average RR 0.88, 95% CI 0.85 to 0.91; 18 trials, 68,801 participants; high-quality evidence)." Confirmed by 2024-2025 meta-analyses.</t>
      </text>
    </comment>
    <comment ref="C17" authorId="0" shapeId="0">
      <text>
        <t>The original BOTEC used MW=3 as a "super rough guess, from syphilis CEA." Value comes mainly through birthweight's effect on development. The 2025 meta-analysis showing MMS reduces stunting (RR 0.86) through 24 months provides direct evidence for a developmental benefit channel, supporting this assumption. However, MW=3 remains uncertain and is the second-largest driver of CE after cost.</t>
      </text>
    </comment>
    <comment ref="C19" authorId="0" shapeId="0">
      <text>
        <t>From original BOTEC. "This might include lower morbidity both early and later in life, adult disability, etc." Unchanged from original. The new stunting evidence supports there being real developmental effects, but these are likely already captured in the MW for LBW of 3.</t>
      </text>
    </comment>
    <comment ref="C23" authorId="0" shapeId="0">
      <text>
        <t>The Cochrane review rated the LBW evidence as "high quality" with I²=0% across 18 trials and 68,801 participants. No IV discount warranted.</t>
      </text>
    </comment>
    <comment ref="C24" authorId="0" shapeId="0">
      <text>
        <t>The original QEA used EV=0.7: "My guess would be that, given this requires taking 180 pills, adherence would be lower in field implementation than in real-world settings." Kirk Humanitarian's scale-up to 75M women in 111 LMICs partially addresses this concern by demonstrating feasibility at scale. The 2025 IPD meta-analysis confirms that adherence matters (&gt;=90% adherence needed for full benefit). I am slightly increasing from 0.7 to 0.75 but note this is still an assumption.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irkhumanitarian.org/unimmap-mms-product-attributes/" TargetMode="External" Id="rId1" /><Relationship Type="http://schemas.openxmlformats.org/officeDocument/2006/relationships/hyperlink" Target="https://www.cochranelibrary.com/cdsr/doi/10.1002/14651858.CD004905.pub6/full"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60" customWidth="1" min="1" max="1"/>
    <col width="18" customWidth="1" min="2" max="2"/>
    <col width="80" customWidth="1" min="3" max="3"/>
  </cols>
  <sheetData>
    <row r="1">
      <c r="A1" s="1" t="inlineStr">
        <is>
          <t>Costs</t>
        </is>
      </c>
      <c r="B1" s="2" t="inlineStr">
        <is>
          <t>Value</t>
        </is>
      </c>
      <c r="C1" s="3" t="inlineStr">
        <is>
          <t>Source / notes</t>
        </is>
      </c>
    </row>
    <row r="2">
      <c r="A2" t="inlineStr">
        <is>
          <t>Grant amount</t>
        </is>
      </c>
      <c r="B2" s="4" t="n">
        <v>1000000</v>
      </c>
      <c r="C2" s="5" t="inlineStr">
        <is>
          <t>Arbitrary anchor</t>
        </is>
      </c>
    </row>
    <row r="3">
      <c r="A3" t="inlineStr">
        <is>
          <t>MMS tablet cost per pregnancy (180 tablets)</t>
        </is>
      </c>
      <c r="B3" s="6" t="n">
        <v>2.13</v>
      </c>
      <c r="C3" s="7" t="inlineStr">
        <is>
          <t>Kirk Humanitarian procurement: $0.0118/dose x 180 tablets</t>
        </is>
      </c>
    </row>
    <row r="4">
      <c r="A4" t="inlineStr">
        <is>
          <t>IFA tablet cost per pregnancy (180 tablets)</t>
        </is>
      </c>
      <c r="B4" s="6" t="n">
        <v>1.8</v>
      </c>
      <c r="C4" s="5" t="inlineStr">
        <is>
          <t>Estimate; IFA typically ~$0.01/tablet</t>
        </is>
      </c>
    </row>
    <row r="5">
      <c r="A5" t="inlineStr">
        <is>
          <t>Incremental commodity cost per pregnancy (MMS - IFA)</t>
        </is>
      </c>
      <c r="B5" s="6">
        <f>B3-B4</f>
        <v/>
      </c>
      <c r="C5" s="5" t="inlineStr">
        <is>
          <t>Calculation</t>
        </is>
      </c>
    </row>
    <row r="6">
      <c r="A6" t="inlineStr">
        <is>
          <t>Programmatic/transition costs per pregnancy</t>
        </is>
      </c>
      <c r="B6" s="6" t="n">
        <v>2.67</v>
      </c>
      <c r="C6" s="5" t="inlineStr">
        <is>
          <t>Estimate; original QEA used $3. Reduced given Kirk scale-up experience.</t>
        </is>
      </c>
    </row>
    <row r="7">
      <c r="A7" t="inlineStr">
        <is>
          <t>Total incremental cost per pregnancy (MMS vs IFA)</t>
        </is>
      </c>
      <c r="B7" s="6">
        <f>B5+B6</f>
        <v/>
      </c>
      <c r="C7" s="5" t="inlineStr">
        <is>
          <t>Calculation</t>
        </is>
      </c>
    </row>
    <row r="8">
      <c r="A8" t="inlineStr">
        <is>
          <t>Pregnancies covered by grant</t>
        </is>
      </c>
      <c r="B8" s="8">
        <f>B2/B7</f>
        <v/>
      </c>
      <c r="C8" s="5" t="inlineStr">
        <is>
          <t>Calculation</t>
        </is>
      </c>
    </row>
    <row r="9">
      <c r="C9" s="5" t="n"/>
    </row>
    <row r="10">
      <c r="A10" s="1" t="inlineStr">
        <is>
          <t>Burden &amp; effect</t>
        </is>
      </c>
      <c r="C10" s="5" t="n"/>
    </row>
    <row r="11">
      <c r="A11" t="inlineStr">
        <is>
          <t>Baseline LBW rate (South Asia)</t>
        </is>
      </c>
      <c r="B11" s="9" t="n">
        <v>0.28</v>
      </c>
      <c r="C11" s="5" t="inlineStr">
        <is>
          <t>South Asia has the highest LBW rates globally (~28%)</t>
        </is>
      </c>
    </row>
    <row r="12">
      <c r="A12" t="inlineStr">
        <is>
          <t>Relative risk of LBW with MMS vs IFA</t>
        </is>
      </c>
      <c r="B12" t="n">
        <v>0.88</v>
      </c>
      <c r="C12" s="7" t="inlineStr">
        <is>
          <t>2019 Cochrane review: RR 0.88 (95% CI 0.85-0.91), 18 trials, I²=0%</t>
        </is>
      </c>
    </row>
    <row r="13">
      <c r="A13" t="inlineStr">
        <is>
          <t>Percent reduction in LBW</t>
        </is>
      </c>
      <c r="B13" s="9">
        <f>1-B12</f>
        <v/>
      </c>
      <c r="C13" s="5" t="inlineStr">
        <is>
          <t>Calculation</t>
        </is>
      </c>
    </row>
    <row r="14">
      <c r="A14" t="inlineStr">
        <is>
          <t>Expected LBW births averted</t>
        </is>
      </c>
      <c r="B14" s="8">
        <f>B8*B11*B13</f>
        <v/>
      </c>
      <c r="C14" s="5" t="inlineStr">
        <is>
          <t>Calculation</t>
        </is>
      </c>
    </row>
    <row r="15">
      <c r="C15" s="5" t="n"/>
    </row>
    <row r="16">
      <c r="A16" s="1" t="inlineStr">
        <is>
          <t>Benefits</t>
        </is>
      </c>
      <c r="C16" s="5" t="n"/>
    </row>
    <row r="17">
      <c r="A17" t="inlineStr">
        <is>
          <t>Moral weight per LBW averted (UoV)</t>
        </is>
      </c>
      <c r="B17" t="n">
        <v>3</v>
      </c>
      <c r="C17" s="5" t="inlineStr">
        <is>
          <t>Rough guess from original QEA (borrowed from syphilis CEA)</t>
        </is>
      </c>
    </row>
    <row r="18">
      <c r="A18" t="inlineStr">
        <is>
          <t>UoV from LBW reduction</t>
        </is>
      </c>
      <c r="B18" s="8">
        <f>B14*B17</f>
        <v/>
      </c>
      <c r="C18" s="5" t="inlineStr">
        <is>
          <t>Calculation</t>
        </is>
      </c>
    </row>
    <row r="19">
      <c r="A19" t="inlineStr">
        <is>
          <t>Adjustment for excluded child effects</t>
        </is>
      </c>
      <c r="B19" t="n">
        <v>1.3</v>
      </c>
      <c r="C19" s="5" t="inlineStr">
        <is>
          <t>Lower morbidity, developmental effects beyond LBW (original estimate)</t>
        </is>
      </c>
    </row>
    <row r="20">
      <c r="A20" t="inlineStr">
        <is>
          <t>UoV before IV/EV adjustments</t>
        </is>
      </c>
      <c r="B20" s="8">
        <f>B18*B19</f>
        <v/>
      </c>
      <c r="C20" s="5" t="inlineStr">
        <is>
          <t>Calculation</t>
        </is>
      </c>
    </row>
    <row r="21">
      <c r="C21" s="5" t="n"/>
    </row>
    <row r="22">
      <c r="A22" s="1" t="inlineStr">
        <is>
          <t>Adjustments</t>
        </is>
      </c>
      <c r="C22" s="5" t="n"/>
    </row>
    <row r="23">
      <c r="A23" t="inlineStr">
        <is>
          <t>Internal validity adjustment</t>
        </is>
      </c>
      <c r="B23" s="9" t="n">
        <v>1</v>
      </c>
      <c r="C23" s="5" t="inlineStr">
        <is>
          <t>High-quality evidence: 18 RCTs, I²=0%, Cochrane rated high quality</t>
        </is>
      </c>
    </row>
    <row r="24">
      <c r="A24" t="inlineStr">
        <is>
          <t>External validity adjustment</t>
        </is>
      </c>
      <c r="B24" s="9" t="n">
        <v>0.75</v>
      </c>
      <c r="C24" s="5" t="inlineStr">
        <is>
          <t>Adherence concern partially addressed by scale-up (original: 0.7)</t>
        </is>
      </c>
    </row>
    <row r="25">
      <c r="A25" t="inlineStr">
        <is>
          <t>UoV after adjustments</t>
        </is>
      </c>
      <c r="B25" s="8">
        <f>B20*B23*B24</f>
        <v/>
      </c>
      <c r="C25" s="5" t="inlineStr">
        <is>
          <t>Calculation</t>
        </is>
      </c>
    </row>
    <row r="26">
      <c r="C26" s="5" t="n"/>
    </row>
    <row r="27">
      <c r="A27" s="1" t="inlineStr">
        <is>
          <t>Final CE</t>
        </is>
      </c>
      <c r="C27" s="5" t="n"/>
    </row>
    <row r="28">
      <c r="A28" t="inlineStr">
        <is>
          <t>GW benchmark (UoV per $100k at 1x cash)</t>
        </is>
      </c>
      <c r="B28" t="n">
        <v>344</v>
      </c>
      <c r="C28" s="5" t="inlineStr">
        <is>
          <t>344 UoV per $100k = 1x cash transfers</t>
        </is>
      </c>
    </row>
    <row r="29">
      <c r="A29" t="inlineStr">
        <is>
          <t>CE (best guess)</t>
        </is>
      </c>
      <c r="B29" s="10">
        <f>B25/(B2/100000*B28)</f>
        <v/>
      </c>
      <c r="C29" s="5" t="inlineStr">
        <is>
          <t>Calculation: total UoV / (grant/100k * benchmark)</t>
        </is>
      </c>
    </row>
    <row r="30">
      <c r="C30" s="5" t="n"/>
    </row>
    <row r="31">
      <c r="A31" s="1" t="inlineStr">
        <is>
          <t>Sensitivity: CE at different costs per pregnancy</t>
        </is>
      </c>
      <c r="C31" s="5" t="n"/>
    </row>
    <row r="32">
      <c r="A32" t="inlineStr">
        <is>
          <t>CE at $2/pregnancy (efficient IFA→MMS switch)</t>
        </is>
      </c>
      <c r="B32" s="11">
        <f>(B2/2)*B11*B13*B17*B19*B23*B24/(B2/100000*B28)</f>
        <v/>
      </c>
      <c r="C32" s="5" t="n"/>
    </row>
    <row r="33">
      <c r="A33" t="inlineStr">
        <is>
          <t>CE at $3/pregnancy (best guess)</t>
        </is>
      </c>
      <c r="B33" s="11">
        <f>(B2/3)*B11*B13*B17*B19*B23*B24/(B2/100000*B28)</f>
        <v/>
      </c>
      <c r="C33" s="5" t="n"/>
    </row>
    <row r="34">
      <c r="A34" t="inlineStr">
        <is>
          <t>CE at $4/pregnancy (original QEA estimate)</t>
        </is>
      </c>
      <c r="B34" s="11">
        <f>(B2/4)*B11*B13*B17*B19*B23*B24/(B2/100000*B28)</f>
        <v/>
      </c>
      <c r="C34" s="5" t="n"/>
    </row>
    <row r="35">
      <c r="A35" t="inlineStr">
        <is>
          <t>CE at $6/pregnancy (comprehensive new program)</t>
        </is>
      </c>
      <c r="B35" s="11">
        <f>(B2/6)*B11*B13*B17*B19*B23*B24/(B2/100000*B28)</f>
        <v/>
      </c>
      <c r="C35" s="5" t="n"/>
    </row>
    <row r="36">
      <c r="C36" s="5" t="n"/>
    </row>
    <row r="37">
      <c r="A37" s="1" t="inlineStr">
        <is>
          <t>Sensitivity: CE at different moral weights for LBW</t>
        </is>
      </c>
      <c r="C37" s="5" t="n"/>
    </row>
    <row r="38">
      <c r="A38" t="inlineStr">
        <is>
          <t>CE at MW=2 for LBW</t>
        </is>
      </c>
      <c r="B38" s="11">
        <f>B8*B11*B13*2*B19*B23*B24/(B2/100000*B28)</f>
        <v/>
      </c>
      <c r="C38" s="5" t="n"/>
    </row>
    <row r="39">
      <c r="A39" t="inlineStr">
        <is>
          <t>CE at MW=3 for LBW (best guess)</t>
        </is>
      </c>
      <c r="B39" s="11">
        <f>B29</f>
        <v/>
      </c>
      <c r="C39" s="5" t="n"/>
    </row>
    <row r="40">
      <c r="A40" t="inlineStr">
        <is>
          <t>CE at MW=4 for LBW</t>
        </is>
      </c>
      <c r="B40" s="11">
        <f>B8*B11*B13*4*B19*B23*B24/(B2/100000*B28)</f>
        <v/>
      </c>
      <c r="C40" s="5" t="n"/>
    </row>
  </sheetData>
  <hyperlinks>
    <hyperlink xmlns:r="http://schemas.openxmlformats.org/officeDocument/2006/relationships" ref="C3" r:id="rId1"/>
    <hyperlink xmlns:r="http://schemas.openxmlformats.org/officeDocument/2006/relationships" ref="C12" r:id="rId2"/>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2026-03-19T00:10:11Z</dcterms:created>
  <dcterms:modified xsi:type="dcterms:W3CDTF">2026-03-19T00:10:11Z</dcterms:modified>
</cp:coreProperties>
</file>