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%"/>
    <numFmt numFmtId="167" formatCode="#,##0.0"/>
    <numFmt numFmtId="168" formatCode="0.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color rgb="000000FF"/>
      <u val="single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3" fillId="0" borderId="0" applyAlignment="1" pivotButton="0" quotePrefix="0" xfId="0">
      <alignment wrapText="1"/>
    </xf>
    <xf numFmtId="9" fontId="0" fillId="0" borderId="0" pivotButton="0" quotePrefix="0" xfId="0"/>
    <xf numFmtId="167" fontId="0" fillId="0" borderId="0" pivotButton="0" quotePrefix="0" xfId="0"/>
    <xf numFmtId="168" fontId="4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BOTEC</author>
  </authors>
  <commentList>
    <comment ref="C3" authorId="0" shapeId="0">
      <text>
        <t>Dexamethasone is on the WHO Essential Medicines List and is widely available. The $0.51 figure covers only the drug cost. The full regimen is four 6mg IM injections at 12-hour intervals.</t>
      </text>
    </comment>
    <comment ref="C4" authorId="0" shapeId="0">
      <text>
        <t>This is the key uncertain parameter. Components:
- Drug: $0.51 (included separately)
- Training costs amortized per woman: ~$5-10
- Ultrasound dating (if not already available): ~$5-10 amortized
- Program management/supervision: ~$5-10
Total ~$30/woman is my best guess for programs in hospitals that already have adequate neonatal care capacity. If hospitals need capacity building, costs could be $50-100+. See sensitivity analysis below.</t>
      </text>
    </comment>
    <comment ref="C9" authorId="0" shapeId="0">
      <text>
        <t>From ACTION-I trial (NEJM 2020): "Neonatal death occurred in [...] 331 of 1406 infants (23.5%) in the placebo group." These are women at risk of early preterm birth (26-34 weeks) presenting at secondary/tertiary hospitals in Bangladesh, India, Kenya, Nigeria, and Pakistan. 90% actually delivered preterm.</t>
      </text>
    </comment>
    <comment ref="C10" authorId="0" shapeId="0">
      <text>
        <t>"Neonatal death occurred in 278 of 1417 infants (19.6%) in the dexamethasone group, as compared with 331 of 1406 infants (23.5%) in the placebo group (relative risk, 0.84; 95% CI, 0.72 to 0.97; P=0.03)."
https://www.nejm.org/doi/full/10.1056/NEJMoa2022398</t>
      </text>
    </comment>
    <comment ref="C13" authorId="0" shapeId="0">
      <text>
        <t>The ACTION-I trial was a well-designed, double-blind, placebo-controlled RCT across 29 hospitals in 5 LMICs. However, it was stopped early for benefit at the second interim analysis. Trials stopped early for benefit tend to overestimate treatment effects (Bassler et al., JAMA 2010). A 10% IV discount accounts for this and for the fact that this is a single trial.</t>
      </text>
    </comment>
    <comment ref="C14" authorId="0" shapeId="0">
      <text>
        <t>The ACTION-I trial was conducted in secondary/tertiary hospitals selected for having adequate neonatal care. Real-world ACS programs may:
- Include hospitals with less adequate neonatal care (reducing effectiveness)
- Have less rigorous gestational age assessment (increasing overtreatment risk)
- Achieve lower compliance with the 4-dose regimen
A 20% EV discount accounts for these implementation realities.</t>
      </text>
    </comment>
    <comment ref="C20" authorId="0" shapeId="0">
      <text>
        <t>Beyond mortality, ACS substantially reduces neonatal morbidity:
- RDS: RR 0.66 (Cochrane 2017)
- IVH: RR 0.55
- NEC: RR 0.50
- Need for mechanical ventilation: RR 0.68
These are major drivers of long-term disability and healthcare costs. 15% morbidity uplift is conservative given the magnitude of these effects.</t>
      </text>
    </comment>
    <comment ref="C21" authorId="0" shapeId="0">
      <text>
        <t>The ACTION-I cost-effectiveness analysis found ACS was cost-saving in all 5 trial countries, with savings of $1,778-$53,681 per 1,000 woman-baby units from reduced neonatal intensive care costs. 10% is a conservative credit for these healthcare cost savings.</t>
      </text>
    </comment>
    <comment ref="C33" authorId="0" shapeId="0">
      <text>
        <t>If ACS is also effective for late preterm births (34-36 weeks), the number of eligible women roughly triples. The CE per woman treated doesn't change, but the total addressable market and RFMF increase substantially. The ACTION-III trial is testing this and results are expected ~2027.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ejm.org/doi/full/10.1056/NEJMoa2022398" TargetMode="External" Id="rId1" /><Relationship Type="http://schemas.openxmlformats.org/officeDocument/2006/relationships/hyperlink" Target="https://www.nejm.org/doi/full/10.1056/NEJMoa2022398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80" customWidth="1" min="3" max="3"/>
  </cols>
  <sheetData>
    <row r="1">
      <c r="A1" s="1" t="inlineStr">
        <is>
          <t>Costs</t>
        </is>
      </c>
      <c r="B1" s="2" t="inlineStr">
        <is>
          <t>Value</t>
        </is>
      </c>
      <c r="C1" s="3" t="inlineStr">
        <is>
          <t>Source / notes</t>
        </is>
      </c>
    </row>
    <row r="2">
      <c r="A2" t="inlineStr">
        <is>
          <t>Grant amount</t>
        </is>
      </c>
      <c r="B2" s="4" t="n">
        <v>1000000</v>
      </c>
      <c r="C2" s="5" t="n"/>
    </row>
    <row r="3">
      <c r="A3" t="inlineStr">
        <is>
          <t>Drug cost per course (dexamethasone, 4x6mg IM)</t>
        </is>
      </c>
      <c r="B3" s="6" t="n">
        <v>0.51</v>
      </c>
      <c r="C3" s="5" t="inlineStr">
        <is>
          <t>Save the Children 2013: 'as little as 51 cents per treatment'</t>
        </is>
      </c>
    </row>
    <row r="4">
      <c r="A4" t="inlineStr">
        <is>
          <t>Incremental program cost per woman treated (training, ultrasound, supervision)</t>
        </is>
      </c>
      <c r="B4" s="6" t="n">
        <v>29.49</v>
      </c>
      <c r="C4" s="5" t="inlineStr">
        <is>
          <t>Assumption: ~$30 total cost per woman in hospitals with adequate neonatal care.</t>
        </is>
      </c>
    </row>
    <row r="5">
      <c r="A5" t="inlineStr">
        <is>
          <t>Total cost per woman treated</t>
        </is>
      </c>
      <c r="B5" s="6">
        <f>B3+B4</f>
        <v/>
      </c>
      <c r="C5" s="5" t="inlineStr">
        <is>
          <t>Calculation</t>
        </is>
      </c>
    </row>
    <row r="6">
      <c r="A6" t="inlineStr">
        <is>
          <t>Number of women treated</t>
        </is>
      </c>
      <c r="B6" s="7">
        <f>B2/B5</f>
        <v/>
      </c>
      <c r="C6" s="5" t="inlineStr">
        <is>
          <t>Calculation</t>
        </is>
      </c>
    </row>
    <row r="7">
      <c r="A7" s="1" t="inlineStr"/>
      <c r="C7" s="5" t="n"/>
    </row>
    <row r="8">
      <c r="A8" s="1" t="inlineStr">
        <is>
          <t>Burden &amp; effect</t>
        </is>
      </c>
      <c r="C8" s="5" t="n"/>
    </row>
    <row r="9">
      <c r="A9" t="inlineStr">
        <is>
          <t>Baseline neonatal mortality among women at risk of early preterm birth</t>
        </is>
      </c>
      <c r="B9" s="8" t="n">
        <v>0.235</v>
      </c>
      <c r="C9" s="9" t="inlineStr">
        <is>
          <t>ACTION-I placebo arm: 331/1406 = 23.5%</t>
        </is>
      </c>
    </row>
    <row r="10">
      <c r="A10" t="inlineStr">
        <is>
          <t>RR for neonatal death (dexamethasone vs placebo)</t>
        </is>
      </c>
      <c r="B10" t="n">
        <v>0.84</v>
      </c>
      <c r="C10" s="9" t="inlineStr">
        <is>
          <t>ACTION-I trial (NEJM 2020): RR 0.84 (95% CI 0.72-0.97)</t>
        </is>
      </c>
    </row>
    <row r="11">
      <c r="A11" t="inlineStr">
        <is>
          <t>Mortality reduction (1 - RR)</t>
        </is>
      </c>
      <c r="B11" s="10">
        <f>1-B10</f>
        <v/>
      </c>
      <c r="C11" s="5" t="inlineStr">
        <is>
          <t>Calculation</t>
        </is>
      </c>
    </row>
    <row r="12">
      <c r="A12" t="inlineStr">
        <is>
          <t>Baseline neonatal deaths in cohort</t>
        </is>
      </c>
      <c r="B12" s="11">
        <f>B6*B9</f>
        <v/>
      </c>
      <c r="C12" s="5" t="inlineStr">
        <is>
          <t>Calculation</t>
        </is>
      </c>
    </row>
    <row r="13">
      <c r="A13" t="inlineStr">
        <is>
          <t>Internal validity adjustment</t>
        </is>
      </c>
      <c r="B13" s="10" t="n">
        <v>0.9</v>
      </c>
      <c r="C13" s="5" t="inlineStr">
        <is>
          <t>Single large RCT (n=2852), stopped early for benefit. Minor discount for early stopping bias.</t>
        </is>
      </c>
    </row>
    <row r="14">
      <c r="A14" t="inlineStr">
        <is>
          <t>External validity adjustment</t>
        </is>
      </c>
      <c r="B14" s="10" t="n">
        <v>0.8</v>
      </c>
      <c r="C14" s="5" t="inlineStr">
        <is>
          <t>Trial in selected hospitals with adequate neonatal care; real-world implementation may be less targeted.</t>
        </is>
      </c>
    </row>
    <row r="15">
      <c r="A15" t="inlineStr">
        <is>
          <t>Adjusted neonatal deaths averted</t>
        </is>
      </c>
      <c r="B15" s="11">
        <f>B12*B11*B13*B14</f>
        <v/>
      </c>
      <c r="C15" s="5" t="inlineStr">
        <is>
          <t>Calculation</t>
        </is>
      </c>
    </row>
    <row r="16">
      <c r="A16" s="1" t="inlineStr"/>
      <c r="C16" s="5" t="n"/>
    </row>
    <row r="17">
      <c r="A17" s="1" t="inlineStr">
        <is>
          <t>Benefits</t>
        </is>
      </c>
      <c r="C17" s="5" t="n"/>
    </row>
    <row r="18">
      <c r="A18" t="inlineStr">
        <is>
          <t>Moral weight per neonatal death averted (UoV)</t>
        </is>
      </c>
      <c r="B18" t="n">
        <v>52.5</v>
      </c>
      <c r="C18" s="5" t="inlineStr">
        <is>
          <t>GiveWell standard: under-5 death averted</t>
        </is>
      </c>
    </row>
    <row r="19">
      <c r="A19" t="inlineStr">
        <is>
          <t>UoV from neonatal deaths averted</t>
        </is>
      </c>
      <c r="B19" s="7">
        <f>B15*B18</f>
        <v/>
      </c>
      <c r="C19" s="5" t="inlineStr">
        <is>
          <t>Calculation</t>
        </is>
      </c>
    </row>
    <row r="20">
      <c r="A20" t="inlineStr">
        <is>
          <t>Ad-hoc: morbidity reduction (reduced RDS, IVH, NEC among survivors)</t>
        </is>
      </c>
      <c r="B20" s="10" t="n">
        <v>0.15</v>
      </c>
      <c r="C20" s="5" t="inlineStr">
        <is>
          <t>ACS reduces RDS (RR 0.66), IVH (RR 0.55), NEC (RR 0.50) per Cochrane 2017.</t>
        </is>
      </c>
    </row>
    <row r="21">
      <c r="A21" t="inlineStr">
        <is>
          <t>Ad-hoc: reduced healthcare costs (shorter NICU stays)</t>
        </is>
      </c>
      <c r="B21" s="10" t="n">
        <v>0.1</v>
      </c>
      <c r="C21" s="5" t="inlineStr">
        <is>
          <t>ACTION-I CEA: intervention was cost-saving in all 5 countries.</t>
        </is>
      </c>
    </row>
    <row r="22">
      <c r="A22" t="inlineStr">
        <is>
          <t>Total UoV from program</t>
        </is>
      </c>
      <c r="B22" s="7">
        <f>B19*(1+B20+B21)</f>
        <v/>
      </c>
      <c r="C22" s="5" t="inlineStr">
        <is>
          <t>Calculation</t>
        </is>
      </c>
    </row>
    <row r="23">
      <c r="A23" s="1" t="inlineStr"/>
      <c r="C23" s="5" t="n"/>
    </row>
    <row r="24">
      <c r="A24" s="1" t="inlineStr">
        <is>
          <t>Final CE</t>
        </is>
      </c>
      <c r="C24" s="5" t="n"/>
    </row>
    <row r="25">
      <c r="A25" t="inlineStr">
        <is>
          <t>Value per dollar spent on benchmark (GiveDirectly)</t>
        </is>
      </c>
      <c r="B25" t="n">
        <v>0.00344</v>
      </c>
      <c r="C25" s="5" t="n"/>
    </row>
    <row r="26">
      <c r="A26" t="inlineStr">
        <is>
          <t>CE (multiples of cash)</t>
        </is>
      </c>
      <c r="B26" s="12">
        <f>B22/B2/B25</f>
        <v/>
      </c>
      <c r="C26" s="5" t="inlineStr">
        <is>
          <t>Calculation</t>
        </is>
      </c>
    </row>
    <row r="27">
      <c r="A27" s="1" t="inlineStr"/>
      <c r="C27" s="5" t="n"/>
    </row>
    <row r="28">
      <c r="A28" s="1" t="inlineStr">
        <is>
          <t>Sensitivity (CE at different program costs per woman)</t>
        </is>
      </c>
      <c r="C28" s="5" t="n"/>
    </row>
    <row r="29">
      <c r="A29" t="inlineStr">
        <is>
          <t>CE at $10/woman (drug + minimal training overhead)</t>
        </is>
      </c>
      <c r="B29" s="13">
        <f>(B9*(1-B10)*B13*B14*B18*(1+B20+B21))/(10*B25)</f>
        <v/>
      </c>
      <c r="C29" s="5" t="inlineStr">
        <is>
          <t>Scenario: hospitals already have ultrasound and neonatal care; only need drug supply + minimal training</t>
        </is>
      </c>
    </row>
    <row r="30">
      <c r="A30" t="inlineStr">
        <is>
          <t>CE at $30/woman (best guess)</t>
        </is>
      </c>
      <c r="B30" s="13">
        <f>(B9*(1-B10)*B13*B14*B18*(1+B20+B21))/(30*B25)</f>
        <v/>
      </c>
      <c r="C30" s="5" t="inlineStr">
        <is>
          <t>Scenario: moderate program (training + drug supply + supervision in equipped hospitals)</t>
        </is>
      </c>
    </row>
    <row r="31">
      <c r="A31" t="inlineStr">
        <is>
          <t>CE at $50/woman (includes some capacity building)</t>
        </is>
      </c>
      <c r="B31" s="13">
        <f>(B9*(1-B10)*B13*B14*B18*(1+B20+B21))/(50*B25)</f>
        <v/>
      </c>
      <c r="C31" s="5" t="inlineStr">
        <is>
          <t>Scenario: hospitals need some additional neonatal care capacity</t>
        </is>
      </c>
    </row>
    <row r="32">
      <c r="A32" t="inlineStr">
        <is>
          <t>CE at $100/woman (substantial capacity building)</t>
        </is>
      </c>
      <c r="B32" s="13">
        <f>(B9*(1-B10)*B13*B14*B18*(1+B20+B21))/(100*B25)</f>
        <v/>
      </c>
      <c r="C32" s="5" t="inlineStr">
        <is>
          <t>Scenario: hospitals need significant neonatal care upgrades + training + equipment</t>
        </is>
      </c>
    </row>
    <row r="33">
      <c r="A33" t="inlineStr">
        <is>
          <t>CE at $30/woman with ACTION-III benefit (late preterm also effective, 3x eligible population)</t>
        </is>
      </c>
      <c r="B33" s="13">
        <f>B30</f>
        <v/>
      </c>
      <c r="C33" s="5" t="inlineStr">
        <is>
          <t>If ACTION-III shows benefit for 34-36 week births, CE unchanged per woman but eligible pool triples.</t>
        </is>
      </c>
    </row>
  </sheetData>
  <hyperlinks>
    <hyperlink xmlns:r="http://schemas.openxmlformats.org/officeDocument/2006/relationships" ref="C9" r:id="rId1"/>
    <hyperlink xmlns:r="http://schemas.openxmlformats.org/officeDocument/2006/relationships" ref="C10" r:id="rId2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2026-03-18T22:01:41Z</dcterms:created>
  <dcterms:modified xsi:type="dcterms:W3CDTF">2026-03-18T22:01:41Z</dcterms:modified>
</cp:coreProperties>
</file>