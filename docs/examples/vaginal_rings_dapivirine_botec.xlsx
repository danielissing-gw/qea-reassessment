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165" fontId="0" fillId="0" borderId="0" pivotButton="0" quotePrefix="0" xfId="0"/>
    <xf numFmtId="9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10" authorId="0" shapeId="0">
      <text>
        <t>Nel 2021 (DREAM): "18 (1.9%) HIV-1 infections were confirmed during DVR use, resulting in an incidence of 1.8 (95% CI 1.1–2.6) per 100 person-years, 62% lower than the simulated placebo rate."
https://www.thelancet.com/journals/lanhiv/article/PIIS2352-3018(20)30300-3/fulltext
Baeten 2022 (HOPE): "HIV-1 incidence was 2.7 per 100 person-years (95% CI 1.9–3.8, n=35 infections), compared to an expected incidence of 4.4 per 100 person-years (95% CI 3.2–5.8) among a population matched on age, site, and presence of a sexually transmitted infection from the placebo group of ASPIRE." 1 − 2.7/4.4 ≈ 39%.
https://pmc.ncbi.nlm.nih.gov/articles/PMC8038210/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pcouncil.org/media/dapivirine-vaginal-ring-price-drops-by-over-50-bringing-more-affordable-hiv-prevention-options-to-women-and-adolescent-girls-in-africa-and-beyond/" TargetMode="External" Id="rId1" /><Relationship Type="http://schemas.openxmlformats.org/officeDocument/2006/relationships/hyperlink" Target="https://academiccommons.columbia.edu/doi/10.7916/wqj1-q879" TargetMode="External" Id="rId2" /><Relationship Type="http://schemas.openxmlformats.org/officeDocument/2006/relationships/hyperlink" Target="https://docs.google.com/spreadsheets/d/1vH1Fh9TUotkKvIeX7uR9-hVHKqrGJJwBQLugb8rkDdA/edit?gid=1203937207#gid=1203937207&amp;range=A7:L7" TargetMode="External" Id="rId3" /><Relationship Type="http://schemas.openxmlformats.org/officeDocument/2006/relationships/hyperlink" Target="https://docs.google.com/spreadsheets/d/1vH1Fh9TUotkKvIeX7uR9-hVHKqrGJJwBQLugb8rkDdA/edit?gid=2020638865#gid=2020638865&amp;range=23:23" TargetMode="External" Id="rId4" /><Relationship Type="http://schemas.openxmlformats.org/officeDocument/2006/relationships/hyperlink" Target="https://pmc.ncbi.nlm.nih.gov/articles/PMC8038210/" TargetMode="External" Id="rId5" /><Relationship Type="http://schemas.openxmlformats.org/officeDocument/2006/relationships/hyperlink" Target="https://docs.google.com/spreadsheets/d/1vH1Fh9TUotkKvIeX7uR9-hVHKqrGJJwBQLugb8rkDdA/edit?gid=1203937207#gid=1203937207" TargetMode="External" Id="rId6" /><Relationship Type="http://schemas.openxmlformats.org/officeDocument/2006/relationships/hyperlink" Target="https://docs.google.com/spreadsheets/d/1vH1Fh9TUotkKvIeX7uR9-hVHKqrGJJwBQLugb8rkDdA/edit?gid=1203937207#gid=1203937207" TargetMode="External" Id="rId7" /><Relationship Type="http://schemas.openxmlformats.org/officeDocument/2006/relationships/hyperlink" Target="https://docs.google.com/spreadsheets/d/1vH1Fh9TUotkKvIeX7uR9-hVHKqrGJJwBQLugb8rkDdA/edit?gid=2020638865#gid=2020638865&amp;range=23:23" TargetMode="External" Id="rId8" /><Relationship Type="http://schemas.openxmlformats.org/officeDocument/2006/relationships/hyperlink" Target="https://docs.google.com/spreadsheets/d/1vH1Fh9TUotkKvIeX7uR9-hVHKqrGJJwBQLugb8rkDdA/edit?gid=2020638865#gid=2020638865&amp;range=23:23" TargetMode="External" Id="rId9" /><Relationship Type="http://schemas.openxmlformats.org/officeDocument/2006/relationships/hyperlink" Target="https://docs.google.com/spreadsheets/d/1vH1Fh9TUotkKvIeX7uR9-hVHKqrGJJwBQLugb8rkDdA/edit?gid=2020638865#gid=2020638865" TargetMode="External" Id="rId10" /><Relationship Type="http://schemas.openxmlformats.org/officeDocument/2006/relationships/hyperlink" Target="https://docs.google.com/spreadsheets/d/1vH1Fh9TUotkKvIeX7uR9-hVHKqrGJJwBQLugb8rkDdA/edit?gid=2020638865#gid=2020638865" TargetMode="External" Id="rId11" /><Relationship Type="http://schemas.openxmlformats.org/officeDocument/2006/relationships/hyperlink" Target="https://docs.google.com/spreadsheets/d/1vH1Fh9TUotkKvIeX7uR9-hVHKqrGJJwBQLugb8rkDdA/edit?gid=2020638865#gid=2020638865" TargetMode="External" Id="rId12" /><Relationship Type="http://schemas.openxmlformats.org/officeDocument/2006/relationships/hyperlink" Target="https://docs.google.com/spreadsheets/d/1vH1Fh9TUotkKvIeX7uR9-hVHKqrGJJwBQLugb8rkDdA/edit?gid=2020638865#gid=2020638865" TargetMode="External" Id="rId13" /><Relationship Type="http://schemas.openxmlformats.org/officeDocument/2006/relationships/hyperlink" Target="https://docs.google.com/spreadsheets/d/1vH1Fh9TUotkKvIeX7uR9-hVHKqrGJJwBQLugb8rkDdA/edit?gid=2020638865#gid=2020638865" TargetMode="External" Id="rId14" /><Relationship Type="http://schemas.openxmlformats.org/officeDocument/2006/relationships/hyperlink" Target="https://docs.google.com/spreadsheets/d/1vH1Fh9TUotkKvIeX7uR9-hVHKqrGJJwBQLugb8rkDdA/edit?gid=1203937207#gid=1203937207" TargetMode="External" Id="rId1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High-risk cohort who begins using PrEP (arbitrary)</t>
        </is>
      </c>
      <c r="B2" t="n">
        <v>1000</v>
      </c>
      <c r="C2" s="4" t="n"/>
    </row>
    <row r="3">
      <c r="A3" t="inlineStr">
        <is>
          <t>Drug costs per person-year of protection</t>
        </is>
      </c>
      <c r="B3" s="5">
        <f>12*5.9</f>
        <v/>
      </c>
      <c r="C3" s="6" t="inlineStr">
        <is>
          <t>Pop Council estimate</t>
        </is>
      </c>
    </row>
    <row r="4">
      <c r="A4" t="inlineStr">
        <is>
          <t>Delivery costs per person-year of protection</t>
        </is>
      </c>
      <c r="B4" t="n">
        <v>50</v>
      </c>
      <c r="C4" s="6" t="inlineStr">
        <is>
          <t>Stegman 2025 estimates that "The cost to provide a full year of PrEP ring was US$206; 76% (US$156) of that cost was attributed to the PrEP rings."</t>
        </is>
      </c>
    </row>
    <row r="5">
      <c r="A5" t="inlineStr">
        <is>
          <t>Average time that women will use dapivirine ring (years)</t>
        </is>
      </c>
      <c r="B5" t="n">
        <v>1</v>
      </c>
      <c r="C5" s="6" t="inlineStr">
        <is>
          <t>Benchmarking on oral PrEP</t>
        </is>
      </c>
    </row>
    <row r="6">
      <c r="A6" t="inlineStr">
        <is>
          <t>Total lifetime costs of dap ring</t>
        </is>
      </c>
      <c r="B6" s="5">
        <f>SUM(B3:B4)*B5</f>
        <v/>
      </c>
      <c r="C6" s="4" t="inlineStr">
        <is>
          <t>Calculation</t>
        </is>
      </c>
    </row>
    <row r="7">
      <c r="A7" t="inlineStr">
        <is>
          <t>Total program cost</t>
        </is>
      </c>
      <c r="B7" s="7">
        <f>B6*B2</f>
        <v/>
      </c>
      <c r="C7" s="4" t="inlineStr">
        <is>
          <t>Calculation</t>
        </is>
      </c>
    </row>
    <row r="8">
      <c r="A8" s="1" t="inlineStr">
        <is>
          <t>Infections prevented</t>
        </is>
      </c>
      <c r="C8" s="4" t="n"/>
    </row>
    <row r="9">
      <c r="A9" t="inlineStr">
        <is>
          <t>Baseline rate of new HIV incidence</t>
        </is>
      </c>
      <c r="B9" s="8" t="n">
        <v>0.05</v>
      </c>
      <c r="C9" s="6" t="inlineStr">
        <is>
          <t>For KP programs, we model 1.9 - 9.6% in SSA. Using a rough midpoint here.</t>
        </is>
      </c>
    </row>
    <row r="10">
      <c r="A10" t="inlineStr">
        <is>
          <t>Risk reduction for HIV acquisition, dapivirine ring compared with placebo</t>
        </is>
      </c>
      <c r="B10">
        <f>AVERAGE(0.39,0.62)</f>
        <v/>
      </c>
      <c r="C10" s="6" t="inlineStr">
        <is>
          <t>Average of Baeten 2022 and Nel 2021</t>
        </is>
      </c>
    </row>
    <row r="11">
      <c r="A11" t="inlineStr">
        <is>
          <t>IV adjustment</t>
        </is>
      </c>
      <c r="B11" s="8" t="n">
        <v>0.95</v>
      </c>
      <c r="C11" s="6" t="inlineStr">
        <is>
          <t>Use same values as for LEN</t>
        </is>
      </c>
    </row>
    <row r="12">
      <c r="A12" t="inlineStr">
        <is>
          <t>EV adjustment</t>
        </is>
      </c>
      <c r="B12" s="8" t="n">
        <v>0.9</v>
      </c>
      <c r="C12" s="6" t="inlineStr">
        <is>
          <t>Use same values as for LEN</t>
        </is>
      </c>
    </row>
    <row r="13">
      <c r="A13" t="inlineStr">
        <is>
          <t>Penalty for repetitive saving (infections merely delayed)</t>
        </is>
      </c>
      <c r="B13" s="8" t="n">
        <v>-0.25</v>
      </c>
      <c r="C13" s="6" t="inlineStr">
        <is>
          <t>See estimate for MOZ, where incidence is estimated at 4.7%, similar to what we assume here. Might be lower for non-KPs (e.g. AGYW)</t>
        </is>
      </c>
    </row>
    <row r="14">
      <c r="A14" t="inlineStr">
        <is>
          <t>Additional infections averted per infection averted directly by PrEP</t>
        </is>
      </c>
      <c r="B14" t="n">
        <v>0.6</v>
      </c>
      <c r="C14" s="6" t="inlineStr">
        <is>
          <t>Average guess for SSA, see here</t>
        </is>
      </c>
    </row>
    <row r="15">
      <c r="A15" t="inlineStr">
        <is>
          <t>Infections prevented by Dapivirine ring (lifetime)</t>
        </is>
      </c>
      <c r="B15" s="9">
        <f>(B2*B9*B10*B11*B12)*(1+B13)*(1+B14)</f>
        <v/>
      </c>
      <c r="C15" s="4" t="inlineStr">
        <is>
          <t>Calculation</t>
        </is>
      </c>
    </row>
    <row r="16">
      <c r="A16" s="1" t="inlineStr">
        <is>
          <t>Benefits (all per infection prevented)</t>
        </is>
      </c>
      <c r="C16" s="4" t="n"/>
    </row>
    <row r="17">
      <c r="A17" t="inlineStr">
        <is>
          <t>Units of value from YLLs gained</t>
        </is>
      </c>
      <c r="B17" t="n">
        <v>34</v>
      </c>
      <c r="C17" s="6" t="inlineStr">
        <is>
          <t>HIV Pre-Exposure Prophylaxis CEA</t>
        </is>
      </c>
    </row>
    <row r="18">
      <c r="A18" t="inlineStr">
        <is>
          <t>Units of value from YLDs averted</t>
        </is>
      </c>
      <c r="B18" t="n">
        <v>6</v>
      </c>
      <c r="C18" s="6" t="inlineStr">
        <is>
          <t>HIV Pre-Exposure Prophylaxis CEA</t>
        </is>
      </c>
    </row>
    <row r="19">
      <c r="A19" t="inlineStr">
        <is>
          <t>Units of value for income benefits</t>
        </is>
      </c>
      <c r="B19" t="n">
        <v>8</v>
      </c>
      <c r="C19" s="6" t="inlineStr">
        <is>
          <t>HIV Pre-Exposure Prophylaxis CEA</t>
        </is>
      </c>
    </row>
    <row r="20">
      <c r="A20" t="inlineStr">
        <is>
          <t>Units of value from treatment costs averted</t>
        </is>
      </c>
      <c r="B20" t="n">
        <v>16</v>
      </c>
      <c r="C20" s="6" t="inlineStr">
        <is>
          <t>value for SSA</t>
        </is>
      </c>
    </row>
    <row r="21">
      <c r="A21" t="inlineStr">
        <is>
          <t>Units of value from subjective well-being benefits</t>
        </is>
      </c>
      <c r="B21" t="n">
        <v>11</v>
      </c>
      <c r="C21" s="6" t="inlineStr">
        <is>
          <t>value for SSA</t>
        </is>
      </c>
    </row>
    <row r="22">
      <c r="A22" t="inlineStr">
        <is>
          <t>Total UoV generated by program</t>
        </is>
      </c>
      <c r="B22" s="10">
        <f>SUM(B17:B21)*B15</f>
        <v/>
      </c>
      <c r="C22" s="4" t="inlineStr">
        <is>
          <t>Calculation</t>
        </is>
      </c>
    </row>
    <row r="23">
      <c r="A23" s="1" t="inlineStr">
        <is>
          <t>Final CE estimates</t>
        </is>
      </c>
      <c r="C23" s="4" t="n"/>
    </row>
    <row r="24">
      <c r="A24" t="inlineStr">
        <is>
          <t>Cost per HIV infection prevented by PrEP</t>
        </is>
      </c>
      <c r="B24" s="7">
        <f>B6*B2/B15</f>
        <v/>
      </c>
      <c r="C24" s="4" t="inlineStr">
        <is>
          <t>Calculation</t>
        </is>
      </c>
    </row>
    <row r="25">
      <c r="A25" t="inlineStr">
        <is>
          <t>Value per dollar spent on benchmark</t>
        </is>
      </c>
      <c r="B25" t="n">
        <v>0.00335</v>
      </c>
      <c r="C25" s="6" t="inlineStr">
        <is>
          <t>GW moral weight</t>
        </is>
      </c>
    </row>
    <row r="26">
      <c r="A26" t="inlineStr">
        <is>
          <t>CE</t>
        </is>
      </c>
      <c r="B26" s="11">
        <f>B22/B7/B25</f>
        <v/>
      </c>
      <c r="C26" s="4" t="inlineStr">
        <is>
          <t>Calculation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7" r:id="rId10"/>
    <hyperlink xmlns:r="http://schemas.openxmlformats.org/officeDocument/2006/relationships" ref="C18" r:id="rId11"/>
    <hyperlink xmlns:r="http://schemas.openxmlformats.org/officeDocument/2006/relationships" ref="C19" r:id="rId12"/>
    <hyperlink xmlns:r="http://schemas.openxmlformats.org/officeDocument/2006/relationships" ref="C20" r:id="rId13"/>
    <hyperlink xmlns:r="http://schemas.openxmlformats.org/officeDocument/2006/relationships" ref="C21" r:id="rId14"/>
    <hyperlink xmlns:r="http://schemas.openxmlformats.org/officeDocument/2006/relationships" ref="C25" r:id="rId15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2026-03-17T23:36:40Z</dcterms:created>
  <dcterms:modified xsi:type="dcterms:W3CDTF">2026-03-17T23:36:40Z</dcterms:modified>
</cp:coreProperties>
</file>